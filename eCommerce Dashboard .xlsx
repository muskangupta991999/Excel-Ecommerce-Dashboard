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muska\Downloads\eCommerce Dashboard\"/>
    </mc:Choice>
  </mc:AlternateContent>
  <xr:revisionPtr revIDLastSave="0" documentId="8_{78E88589-6AC6-4F6D-9E36-846ACED68A60}" xr6:coauthVersionLast="47" xr6:coauthVersionMax="47" xr10:uidLastSave="{00000000-0000-0000-0000-000000000000}"/>
  <bookViews>
    <workbookView xWindow="0" yWindow="0" windowWidth="23040" windowHeight="12240" activeTab="5" xr2:uid="{ECEFD214-EC09-4A5C-8572-3586CAA80BAA}"/>
  </bookViews>
  <sheets>
    <sheet name="Data" sheetId="1" r:id="rId1"/>
    <sheet name="Pivots" sheetId="2" r:id="rId2"/>
    <sheet name="Pivot 2" sheetId="6" r:id="rId3"/>
    <sheet name="Pivot 3" sheetId="7" r:id="rId4"/>
    <sheet name="Questions and KPIs" sheetId="3" r:id="rId5"/>
    <sheet name="Dashboard" sheetId="4" r:id="rId6"/>
  </sheets>
  <definedNames>
    <definedName name="_xlchart.v5.0" hidden="1">'Pivot 2'!$F$13:$G$13</definedName>
    <definedName name="_xlchart.v5.1" hidden="1">'Pivot 2'!$F$14:$G$71</definedName>
    <definedName name="_xlchart.v5.10" hidden="1">'Pivot 2'!$R$13</definedName>
    <definedName name="_xlchart.v5.11" hidden="1">'Pivot 2'!$R$14:$R$71</definedName>
    <definedName name="_xlchart.v5.12" hidden="1">'Pivot 2'!$F$13:$G$13</definedName>
    <definedName name="_xlchart.v5.13" hidden="1">'Pivot 2'!$F$14:$G$71</definedName>
    <definedName name="_xlchart.v5.14" hidden="1">'Pivot 2'!$H$13</definedName>
    <definedName name="_xlchart.v5.15" hidden="1">'Pivot 2'!$H$14:$H$71</definedName>
    <definedName name="_xlchart.v5.2" hidden="1">'Pivot 2'!$H$13</definedName>
    <definedName name="_xlchart.v5.3" hidden="1">'Pivot 2'!$H$14:$H$71</definedName>
    <definedName name="_xlchart.v5.4" hidden="1">'Pivot 2'!$P$13:$Q$13</definedName>
    <definedName name="_xlchart.v5.5" hidden="1">'Pivot 2'!$P$14:$Q$71</definedName>
    <definedName name="_xlchart.v5.6" hidden="1">'Pivot 2'!$R$13</definedName>
    <definedName name="_xlchart.v5.7" hidden="1">'Pivot 2'!$R$14:$R$71</definedName>
    <definedName name="_xlchart.v5.8" hidden="1">'Pivot 2'!$P$13:$Q$13</definedName>
    <definedName name="_xlchart.v5.9" hidden="1">'Pivot 2'!$P$14:$Q$71</definedName>
    <definedName name="Slicer_Gender_Value">#N/A</definedName>
    <definedName name="Slicer_Order_Mod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 i="2" l="1"/>
  <c r="H9" i="6"/>
  <c r="I9" i="6"/>
  <c r="J9" i="6"/>
  <c r="K9" i="6"/>
  <c r="L9" i="6"/>
  <c r="R15" i="6" l="1"/>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O72" i="6"/>
  <c r="O73" i="6"/>
  <c r="R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14" i="6"/>
  <c r="F14"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14" i="6"/>
  <c r="F64" i="6"/>
  <c r="F65" i="6"/>
  <c r="F66" i="6"/>
  <c r="F67" i="6"/>
  <c r="F68" i="6"/>
  <c r="F69" i="6"/>
  <c r="F70" i="6"/>
  <c r="F71" i="6"/>
  <c r="F63"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L8" i="6"/>
  <c r="L7" i="6"/>
  <c r="L6" i="6"/>
  <c r="L5" i="6"/>
  <c r="I5" i="6"/>
  <c r="H6" i="6"/>
  <c r="I6" i="6"/>
  <c r="J6" i="6"/>
  <c r="K6" i="6"/>
  <c r="H7" i="6"/>
  <c r="I7" i="6"/>
  <c r="J7" i="6"/>
  <c r="K7" i="6"/>
  <c r="H8" i="6"/>
  <c r="I8" i="6"/>
  <c r="J8" i="6"/>
  <c r="K8" i="6"/>
  <c r="J5" i="6"/>
  <c r="K5" i="6"/>
  <c r="H5" i="6"/>
  <c r="E7" i="2"/>
  <c r="C7" i="2"/>
  <c r="D7" i="2"/>
  <c r="B7" i="2"/>
  <c r="A7" i="2"/>
  <c r="O2" i="1" a="1"/>
  <c r="O2" i="1" s="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M2" i="1"/>
  <c r="M3" i="1"/>
  <c r="O2401" i="1" a="1"/>
  <c r="O2401" i="1" s="1"/>
  <c r="M2401" i="1"/>
  <c r="O2400" i="1" a="1"/>
  <c r="O2400" i="1" s="1"/>
  <c r="M2400" i="1"/>
  <c r="O2399" i="1" a="1"/>
  <c r="O2399" i="1" s="1"/>
  <c r="M2399" i="1"/>
  <c r="O2398" i="1" a="1"/>
  <c r="O2398" i="1" s="1"/>
  <c r="M2398" i="1"/>
  <c r="O2397" i="1" a="1"/>
  <c r="O2397" i="1" s="1"/>
  <c r="M2397" i="1"/>
  <c r="O2396" i="1" a="1"/>
  <c r="O2396" i="1" s="1"/>
  <c r="M2396" i="1"/>
  <c r="O2395" i="1" a="1"/>
  <c r="O2395" i="1" s="1"/>
  <c r="M2395" i="1"/>
  <c r="O2394" i="1" a="1"/>
  <c r="O2394" i="1" s="1"/>
  <c r="M2394" i="1"/>
  <c r="O2393" i="1" a="1"/>
  <c r="O2393" i="1" s="1"/>
  <c r="M2393" i="1"/>
  <c r="O2392" i="1" a="1"/>
  <c r="O2392" i="1" s="1"/>
  <c r="M2392" i="1"/>
  <c r="O2391" i="1" a="1"/>
  <c r="O2391" i="1" s="1"/>
  <c r="M2391" i="1"/>
  <c r="O2390" i="1" a="1"/>
  <c r="O2390" i="1" s="1"/>
  <c r="M2390" i="1"/>
  <c r="O2389" i="1" a="1"/>
  <c r="O2389" i="1" s="1"/>
  <c r="M2389" i="1"/>
  <c r="O2388" i="1" a="1"/>
  <c r="O2388" i="1" s="1"/>
  <c r="M2388" i="1"/>
  <c r="O2387" i="1" a="1"/>
  <c r="O2387" i="1" s="1"/>
  <c r="M2387" i="1"/>
  <c r="O2386" i="1" a="1"/>
  <c r="O2386" i="1" s="1"/>
  <c r="M2386" i="1"/>
  <c r="O2385" i="1" a="1"/>
  <c r="O2385" i="1" s="1"/>
  <c r="M2385" i="1"/>
  <c r="O2384" i="1" a="1"/>
  <c r="O2384" i="1" s="1"/>
  <c r="M2384" i="1"/>
  <c r="O2383" i="1" a="1"/>
  <c r="O2383" i="1" s="1"/>
  <c r="M2383" i="1"/>
  <c r="O2382" i="1" a="1"/>
  <c r="O2382" i="1" s="1"/>
  <c r="M2382" i="1"/>
  <c r="O2381" i="1" a="1"/>
  <c r="O2381" i="1" s="1"/>
  <c r="M2381" i="1"/>
  <c r="O2380" i="1" a="1"/>
  <c r="O2380" i="1" s="1"/>
  <c r="M2380" i="1"/>
  <c r="O2379" i="1" a="1"/>
  <c r="O2379" i="1" s="1"/>
  <c r="M2379" i="1"/>
  <c r="O2378" i="1" a="1"/>
  <c r="O2378" i="1" s="1"/>
  <c r="M2378" i="1"/>
  <c r="O2377" i="1" a="1"/>
  <c r="O2377" i="1" s="1"/>
  <c r="M2377" i="1"/>
  <c r="O2376" i="1" a="1"/>
  <c r="O2376" i="1" s="1"/>
  <c r="M2376" i="1"/>
  <c r="O2375" i="1" a="1"/>
  <c r="O2375" i="1" s="1"/>
  <c r="M2375" i="1"/>
  <c r="O2374" i="1" a="1"/>
  <c r="O2374" i="1" s="1"/>
  <c r="M2374" i="1"/>
  <c r="O2373" i="1" a="1"/>
  <c r="O2373" i="1" s="1"/>
  <c r="M2373" i="1"/>
  <c r="O2372" i="1" a="1"/>
  <c r="O2372" i="1" s="1"/>
  <c r="M2372" i="1"/>
  <c r="O2371" i="1" a="1"/>
  <c r="O2371" i="1" s="1"/>
  <c r="M2371" i="1"/>
  <c r="O2370" i="1" a="1"/>
  <c r="O2370" i="1" s="1"/>
  <c r="M2370" i="1"/>
  <c r="O2369" i="1" a="1"/>
  <c r="O2369" i="1" s="1"/>
  <c r="M2369" i="1"/>
  <c r="O2368" i="1" a="1"/>
  <c r="O2368" i="1" s="1"/>
  <c r="M2368" i="1"/>
  <c r="O2367" i="1" a="1"/>
  <c r="O2367" i="1" s="1"/>
  <c r="M2367" i="1"/>
  <c r="O2366" i="1" a="1"/>
  <c r="O2366" i="1" s="1"/>
  <c r="M2366" i="1"/>
  <c r="O2365" i="1" a="1"/>
  <c r="O2365" i="1" s="1"/>
  <c r="M2365" i="1"/>
  <c r="O2364" i="1" a="1"/>
  <c r="O2364" i="1" s="1"/>
  <c r="M2364" i="1"/>
  <c r="O2363" i="1" a="1"/>
  <c r="O2363" i="1" s="1"/>
  <c r="M2363" i="1"/>
  <c r="O2362" i="1" a="1"/>
  <c r="O2362" i="1" s="1"/>
  <c r="M2362" i="1"/>
  <c r="O2361" i="1" a="1"/>
  <c r="O2361" i="1" s="1"/>
  <c r="M2361" i="1"/>
  <c r="O2360" i="1" a="1"/>
  <c r="O2360" i="1" s="1"/>
  <c r="M2360" i="1"/>
  <c r="O2359" i="1" a="1"/>
  <c r="O2359" i="1" s="1"/>
  <c r="M2359" i="1"/>
  <c r="O2358" i="1" a="1"/>
  <c r="O2358" i="1" s="1"/>
  <c r="M2358" i="1"/>
  <c r="O2357" i="1" a="1"/>
  <c r="O2357" i="1" s="1"/>
  <c r="M2357" i="1"/>
  <c r="O2356" i="1" a="1"/>
  <c r="O2356" i="1" s="1"/>
  <c r="M2356" i="1"/>
  <c r="O2355" i="1" a="1"/>
  <c r="O2355" i="1" s="1"/>
  <c r="M2355" i="1"/>
  <c r="O2354" i="1" a="1"/>
  <c r="O2354" i="1" s="1"/>
  <c r="M2354" i="1"/>
  <c r="O2353" i="1" a="1"/>
  <c r="O2353" i="1" s="1"/>
  <c r="M2353" i="1"/>
  <c r="O2352" i="1" a="1"/>
  <c r="O2352" i="1" s="1"/>
  <c r="M2352" i="1"/>
  <c r="O2351" i="1" a="1"/>
  <c r="O2351" i="1" s="1"/>
  <c r="M2351" i="1"/>
  <c r="O2350" i="1" a="1"/>
  <c r="O2350" i="1" s="1"/>
  <c r="M2350" i="1"/>
  <c r="O2349" i="1" a="1"/>
  <c r="O2349" i="1" s="1"/>
  <c r="M2349" i="1"/>
  <c r="O2348" i="1" a="1"/>
  <c r="O2348" i="1" s="1"/>
  <c r="M2348" i="1"/>
  <c r="O2347" i="1" a="1"/>
  <c r="O2347" i="1" s="1"/>
  <c r="M2347" i="1"/>
  <c r="O2346" i="1" a="1"/>
  <c r="O2346" i="1" s="1"/>
  <c r="M2346" i="1"/>
  <c r="O2345" i="1" a="1"/>
  <c r="O2345" i="1" s="1"/>
  <c r="M2345" i="1"/>
  <c r="O2344" i="1" a="1"/>
  <c r="O2344" i="1" s="1"/>
  <c r="M2344" i="1"/>
  <c r="O2343" i="1" a="1"/>
  <c r="O2343" i="1" s="1"/>
  <c r="M2343" i="1"/>
  <c r="O2342" i="1" a="1"/>
  <c r="O2342" i="1" s="1"/>
  <c r="M2342" i="1"/>
  <c r="O2341" i="1" a="1"/>
  <c r="O2341" i="1" s="1"/>
  <c r="M2341" i="1"/>
  <c r="O2340" i="1" a="1"/>
  <c r="O2340" i="1" s="1"/>
  <c r="M2340" i="1"/>
  <c r="O2339" i="1" a="1"/>
  <c r="O2339" i="1" s="1"/>
  <c r="M2339" i="1"/>
  <c r="O2338" i="1" a="1"/>
  <c r="O2338" i="1" s="1"/>
  <c r="M2338" i="1"/>
  <c r="O2337" i="1" a="1"/>
  <c r="O2337" i="1" s="1"/>
  <c r="M2337" i="1"/>
  <c r="O2336" i="1" a="1"/>
  <c r="O2336" i="1" s="1"/>
  <c r="M2336" i="1"/>
  <c r="O2335" i="1" a="1"/>
  <c r="O2335" i="1" s="1"/>
  <c r="M2335" i="1"/>
  <c r="O2334" i="1" a="1"/>
  <c r="O2334" i="1" s="1"/>
  <c r="M2334" i="1"/>
  <c r="O2333" i="1" a="1"/>
  <c r="O2333" i="1" s="1"/>
  <c r="M2333" i="1"/>
  <c r="O2332" i="1" a="1"/>
  <c r="O2332" i="1" s="1"/>
  <c r="M2332" i="1"/>
  <c r="O2331" i="1" a="1"/>
  <c r="O2331" i="1" s="1"/>
  <c r="M2331" i="1"/>
  <c r="O2330" i="1" a="1"/>
  <c r="O2330" i="1" s="1"/>
  <c r="M2330" i="1"/>
  <c r="O2329" i="1" a="1"/>
  <c r="O2329" i="1" s="1"/>
  <c r="M2329" i="1"/>
  <c r="O2328" i="1" a="1"/>
  <c r="O2328" i="1" s="1"/>
  <c r="M2328" i="1"/>
  <c r="O2327" i="1" a="1"/>
  <c r="O2327" i="1" s="1"/>
  <c r="M2327" i="1"/>
  <c r="O2326" i="1" a="1"/>
  <c r="O2326" i="1" s="1"/>
  <c r="M2326" i="1"/>
  <c r="O2325" i="1" a="1"/>
  <c r="O2325" i="1" s="1"/>
  <c r="M2325" i="1"/>
  <c r="O2324" i="1" a="1"/>
  <c r="O2324" i="1" s="1"/>
  <c r="M2324" i="1"/>
  <c r="O2323" i="1" a="1"/>
  <c r="O2323" i="1" s="1"/>
  <c r="M2323" i="1"/>
  <c r="O2322" i="1" a="1"/>
  <c r="O2322" i="1" s="1"/>
  <c r="M2322" i="1"/>
  <c r="O2321" i="1" a="1"/>
  <c r="O2321" i="1" s="1"/>
  <c r="M2321" i="1"/>
  <c r="O2320" i="1" a="1"/>
  <c r="O2320" i="1" s="1"/>
  <c r="M2320" i="1"/>
  <c r="O2319" i="1" a="1"/>
  <c r="O2319" i="1" s="1"/>
  <c r="M2319" i="1"/>
  <c r="O2318" i="1" a="1"/>
  <c r="O2318" i="1" s="1"/>
  <c r="M2318" i="1"/>
  <c r="O2317" i="1" a="1"/>
  <c r="O2317" i="1" s="1"/>
  <c r="M2317" i="1"/>
  <c r="O2316" i="1" a="1"/>
  <c r="O2316" i="1" s="1"/>
  <c r="M2316" i="1"/>
  <c r="O2315" i="1" a="1"/>
  <c r="O2315" i="1" s="1"/>
  <c r="M2315" i="1"/>
  <c r="O2314" i="1" a="1"/>
  <c r="O2314" i="1" s="1"/>
  <c r="M2314" i="1"/>
  <c r="O2313" i="1" a="1"/>
  <c r="O2313" i="1" s="1"/>
  <c r="M2313" i="1"/>
  <c r="O2312" i="1" a="1"/>
  <c r="O2312" i="1" s="1"/>
  <c r="M2312" i="1"/>
  <c r="O2311" i="1" a="1"/>
  <c r="O2311" i="1" s="1"/>
  <c r="M2311" i="1"/>
  <c r="O2310" i="1" a="1"/>
  <c r="O2310" i="1" s="1"/>
  <c r="M2310" i="1"/>
  <c r="O2309" i="1" a="1"/>
  <c r="O2309" i="1" s="1"/>
  <c r="M2309" i="1"/>
  <c r="O2308" i="1" a="1"/>
  <c r="O2308" i="1" s="1"/>
  <c r="M2308" i="1"/>
  <c r="O2307" i="1" a="1"/>
  <c r="O2307" i="1" s="1"/>
  <c r="M2307" i="1"/>
  <c r="O2306" i="1" a="1"/>
  <c r="O2306" i="1" s="1"/>
  <c r="M2306" i="1"/>
  <c r="O2305" i="1" a="1"/>
  <c r="O2305" i="1" s="1"/>
  <c r="M2305" i="1"/>
  <c r="O2304" i="1" a="1"/>
  <c r="O2304" i="1" s="1"/>
  <c r="M2304" i="1"/>
  <c r="O2303" i="1" a="1"/>
  <c r="O2303" i="1" s="1"/>
  <c r="M2303" i="1"/>
  <c r="O2302" i="1" a="1"/>
  <c r="O2302" i="1" s="1"/>
  <c r="M2302" i="1"/>
  <c r="O2301" i="1" a="1"/>
  <c r="O2301" i="1" s="1"/>
  <c r="M2301" i="1"/>
  <c r="O2300" i="1" a="1"/>
  <c r="O2300" i="1" s="1"/>
  <c r="M2300" i="1"/>
  <c r="O2299" i="1" a="1"/>
  <c r="O2299" i="1" s="1"/>
  <c r="M2299" i="1"/>
  <c r="O2298" i="1" a="1"/>
  <c r="O2298" i="1" s="1"/>
  <c r="M2298" i="1"/>
  <c r="O2297" i="1" a="1"/>
  <c r="O2297" i="1" s="1"/>
  <c r="M2297" i="1"/>
  <c r="O2296" i="1" a="1"/>
  <c r="O2296" i="1" s="1"/>
  <c r="M2296" i="1"/>
  <c r="O2295" i="1" a="1"/>
  <c r="O2295" i="1" s="1"/>
  <c r="M2295" i="1"/>
  <c r="O2294" i="1" a="1"/>
  <c r="O2294" i="1" s="1"/>
  <c r="M2294" i="1"/>
  <c r="O2293" i="1" a="1"/>
  <c r="O2293" i="1" s="1"/>
  <c r="M2293" i="1"/>
  <c r="O2292" i="1" a="1"/>
  <c r="O2292" i="1" s="1"/>
  <c r="M2292" i="1"/>
  <c r="O2291" i="1" a="1"/>
  <c r="O2291" i="1" s="1"/>
  <c r="M2291" i="1"/>
  <c r="O2290" i="1" a="1"/>
  <c r="O2290" i="1" s="1"/>
  <c r="M2290" i="1"/>
  <c r="O2289" i="1" a="1"/>
  <c r="O2289" i="1" s="1"/>
  <c r="M2289" i="1"/>
  <c r="O2288" i="1" a="1"/>
  <c r="O2288" i="1" s="1"/>
  <c r="M2288" i="1"/>
  <c r="O2287" i="1" a="1"/>
  <c r="O2287" i="1" s="1"/>
  <c r="M2287" i="1"/>
  <c r="O2286" i="1" a="1"/>
  <c r="O2286" i="1" s="1"/>
  <c r="M2286" i="1"/>
  <c r="O2285" i="1" a="1"/>
  <c r="O2285" i="1" s="1"/>
  <c r="M2285" i="1"/>
  <c r="O2284" i="1" a="1"/>
  <c r="O2284" i="1" s="1"/>
  <c r="M2284" i="1"/>
  <c r="O2283" i="1" a="1"/>
  <c r="O2283" i="1" s="1"/>
  <c r="M2283" i="1"/>
  <c r="O2282" i="1" a="1"/>
  <c r="O2282" i="1" s="1"/>
  <c r="M2282" i="1"/>
  <c r="O2281" i="1" a="1"/>
  <c r="O2281" i="1" s="1"/>
  <c r="M2281" i="1"/>
  <c r="O2280" i="1" a="1"/>
  <c r="O2280" i="1" s="1"/>
  <c r="M2280" i="1"/>
  <c r="O2279" i="1" a="1"/>
  <c r="O2279" i="1" s="1"/>
  <c r="M2279" i="1"/>
  <c r="O2278" i="1" a="1"/>
  <c r="O2278" i="1" s="1"/>
  <c r="M2278" i="1"/>
  <c r="O2277" i="1" a="1"/>
  <c r="O2277" i="1" s="1"/>
  <c r="M2277" i="1"/>
  <c r="O2276" i="1" a="1"/>
  <c r="O2276" i="1" s="1"/>
  <c r="M2276" i="1"/>
  <c r="O2275" i="1" a="1"/>
  <c r="O2275" i="1" s="1"/>
  <c r="M2275" i="1"/>
  <c r="O2274" i="1" a="1"/>
  <c r="O2274" i="1" s="1"/>
  <c r="M2274" i="1"/>
  <c r="O2273" i="1" a="1"/>
  <c r="O2273" i="1" s="1"/>
  <c r="M2273" i="1"/>
  <c r="O2272" i="1" a="1"/>
  <c r="O2272" i="1" s="1"/>
  <c r="M2272" i="1"/>
  <c r="O2271" i="1" a="1"/>
  <c r="O2271" i="1" s="1"/>
  <c r="M2271" i="1"/>
  <c r="O2270" i="1" a="1"/>
  <c r="O2270" i="1" s="1"/>
  <c r="M2270" i="1"/>
  <c r="O2269" i="1" a="1"/>
  <c r="O2269" i="1" s="1"/>
  <c r="M2269" i="1"/>
  <c r="O2268" i="1" a="1"/>
  <c r="O2268" i="1" s="1"/>
  <c r="M2268" i="1"/>
  <c r="O2267" i="1" a="1"/>
  <c r="O2267" i="1" s="1"/>
  <c r="M2267" i="1"/>
  <c r="O2266" i="1" a="1"/>
  <c r="O2266" i="1" s="1"/>
  <c r="M2266" i="1"/>
  <c r="O2265" i="1" a="1"/>
  <c r="O2265" i="1" s="1"/>
  <c r="M2265" i="1"/>
  <c r="O2264" i="1" a="1"/>
  <c r="O2264" i="1" s="1"/>
  <c r="M2264" i="1"/>
  <c r="O2263" i="1" a="1"/>
  <c r="O2263" i="1" s="1"/>
  <c r="M2263" i="1"/>
  <c r="O2262" i="1" a="1"/>
  <c r="O2262" i="1" s="1"/>
  <c r="M2262" i="1"/>
  <c r="O2261" i="1" a="1"/>
  <c r="O2261" i="1" s="1"/>
  <c r="M2261" i="1"/>
  <c r="O2260" i="1" a="1"/>
  <c r="O2260" i="1" s="1"/>
  <c r="M2260" i="1"/>
  <c r="O2259" i="1" a="1"/>
  <c r="O2259" i="1" s="1"/>
  <c r="M2259" i="1"/>
  <c r="O2258" i="1" a="1"/>
  <c r="O2258" i="1" s="1"/>
  <c r="M2258" i="1"/>
  <c r="O2257" i="1" a="1"/>
  <c r="O2257" i="1" s="1"/>
  <c r="M2257" i="1"/>
  <c r="O2256" i="1" a="1"/>
  <c r="O2256" i="1" s="1"/>
  <c r="M2256" i="1"/>
  <c r="O2255" i="1" a="1"/>
  <c r="O2255" i="1" s="1"/>
  <c r="M2255" i="1"/>
  <c r="O2254" i="1" a="1"/>
  <c r="O2254" i="1" s="1"/>
  <c r="M2254" i="1"/>
  <c r="O2253" i="1" a="1"/>
  <c r="O2253" i="1" s="1"/>
  <c r="M2253" i="1"/>
  <c r="O2252" i="1" a="1"/>
  <c r="O2252" i="1" s="1"/>
  <c r="M2252" i="1"/>
  <c r="O2251" i="1" a="1"/>
  <c r="O2251" i="1" s="1"/>
  <c r="M2251" i="1"/>
  <c r="O2250" i="1" a="1"/>
  <c r="O2250" i="1" s="1"/>
  <c r="M2250" i="1"/>
  <c r="O2249" i="1" a="1"/>
  <c r="O2249" i="1" s="1"/>
  <c r="M2249" i="1"/>
  <c r="O2248" i="1" a="1"/>
  <c r="O2248" i="1" s="1"/>
  <c r="M2248" i="1"/>
  <c r="O2247" i="1" a="1"/>
  <c r="O2247" i="1" s="1"/>
  <c r="M2247" i="1"/>
  <c r="O2246" i="1" a="1"/>
  <c r="O2246" i="1" s="1"/>
  <c r="M2246" i="1"/>
  <c r="O2245" i="1" a="1"/>
  <c r="O2245" i="1" s="1"/>
  <c r="M2245" i="1"/>
  <c r="O2244" i="1" a="1"/>
  <c r="O2244" i="1" s="1"/>
  <c r="M2244" i="1"/>
  <c r="O2243" i="1" a="1"/>
  <c r="O2243" i="1" s="1"/>
  <c r="M2243" i="1"/>
  <c r="O2242" i="1" a="1"/>
  <c r="O2242" i="1" s="1"/>
  <c r="M2242" i="1"/>
  <c r="O2241" i="1" a="1"/>
  <c r="O2241" i="1" s="1"/>
  <c r="M2241" i="1"/>
  <c r="O2240" i="1" a="1"/>
  <c r="O2240" i="1" s="1"/>
  <c r="M2240" i="1"/>
  <c r="O2239" i="1" a="1"/>
  <c r="O2239" i="1" s="1"/>
  <c r="M2239" i="1"/>
  <c r="O2238" i="1" a="1"/>
  <c r="O2238" i="1" s="1"/>
  <c r="M2238" i="1"/>
  <c r="O2237" i="1" a="1"/>
  <c r="O2237" i="1" s="1"/>
  <c r="M2237" i="1"/>
  <c r="O2236" i="1" a="1"/>
  <c r="O2236" i="1" s="1"/>
  <c r="M2236" i="1"/>
  <c r="O2235" i="1" a="1"/>
  <c r="O2235" i="1" s="1"/>
  <c r="M2235" i="1"/>
  <c r="O2234" i="1" a="1"/>
  <c r="O2234" i="1" s="1"/>
  <c r="M2234" i="1"/>
  <c r="O2233" i="1" a="1"/>
  <c r="O2233" i="1" s="1"/>
  <c r="M2233" i="1"/>
  <c r="O2232" i="1" a="1"/>
  <c r="O2232" i="1" s="1"/>
  <c r="M2232" i="1"/>
  <c r="O2231" i="1" a="1"/>
  <c r="O2231" i="1" s="1"/>
  <c r="M2231" i="1"/>
  <c r="O2230" i="1" a="1"/>
  <c r="O2230" i="1" s="1"/>
  <c r="M2230" i="1"/>
  <c r="O2229" i="1" a="1"/>
  <c r="O2229" i="1" s="1"/>
  <c r="M2229" i="1"/>
  <c r="O2228" i="1" a="1"/>
  <c r="O2228" i="1" s="1"/>
  <c r="M2228" i="1"/>
  <c r="O2227" i="1" a="1"/>
  <c r="O2227" i="1" s="1"/>
  <c r="M2227" i="1"/>
  <c r="O2226" i="1" a="1"/>
  <c r="O2226" i="1" s="1"/>
  <c r="M2226" i="1"/>
  <c r="O2225" i="1" a="1"/>
  <c r="O2225" i="1" s="1"/>
  <c r="M2225" i="1"/>
  <c r="O2224" i="1" a="1"/>
  <c r="O2224" i="1" s="1"/>
  <c r="M2224" i="1"/>
  <c r="O2223" i="1" a="1"/>
  <c r="O2223" i="1" s="1"/>
  <c r="M2223" i="1"/>
  <c r="O2222" i="1" a="1"/>
  <c r="O2222" i="1" s="1"/>
  <c r="M2222" i="1"/>
  <c r="O2221" i="1" a="1"/>
  <c r="O2221" i="1" s="1"/>
  <c r="M2221" i="1"/>
  <c r="O2220" i="1" a="1"/>
  <c r="O2220" i="1" s="1"/>
  <c r="M2220" i="1"/>
  <c r="O2219" i="1" a="1"/>
  <c r="O2219" i="1" s="1"/>
  <c r="M2219" i="1"/>
  <c r="O2218" i="1" a="1"/>
  <c r="O2218" i="1" s="1"/>
  <c r="M2218" i="1"/>
  <c r="O2217" i="1" a="1"/>
  <c r="O2217" i="1" s="1"/>
  <c r="M2217" i="1"/>
  <c r="O2216" i="1" a="1"/>
  <c r="O2216" i="1" s="1"/>
  <c r="M2216" i="1"/>
  <c r="O2215" i="1" a="1"/>
  <c r="O2215" i="1" s="1"/>
  <c r="M2215" i="1"/>
  <c r="O2214" i="1" a="1"/>
  <c r="O2214" i="1" s="1"/>
  <c r="M2214" i="1"/>
  <c r="O2213" i="1" a="1"/>
  <c r="O2213" i="1" s="1"/>
  <c r="M2213" i="1"/>
  <c r="O2212" i="1" a="1"/>
  <c r="O2212" i="1" s="1"/>
  <c r="M2212" i="1"/>
  <c r="O2211" i="1" a="1"/>
  <c r="O2211" i="1" s="1"/>
  <c r="M2211" i="1"/>
  <c r="O2210" i="1" a="1"/>
  <c r="O2210" i="1" s="1"/>
  <c r="M2210" i="1"/>
  <c r="O2209" i="1" a="1"/>
  <c r="O2209" i="1" s="1"/>
  <c r="M2209" i="1"/>
  <c r="O2208" i="1" a="1"/>
  <c r="O2208" i="1" s="1"/>
  <c r="M2208" i="1"/>
  <c r="O2207" i="1" a="1"/>
  <c r="O2207" i="1" s="1"/>
  <c r="M2207" i="1"/>
  <c r="O2206" i="1" a="1"/>
  <c r="O2206" i="1" s="1"/>
  <c r="M2206" i="1"/>
  <c r="O2205" i="1" a="1"/>
  <c r="O2205" i="1" s="1"/>
  <c r="M2205" i="1"/>
  <c r="O2204" i="1" a="1"/>
  <c r="O2204" i="1" s="1"/>
  <c r="M2204" i="1"/>
  <c r="O2203" i="1" a="1"/>
  <c r="O2203" i="1" s="1"/>
  <c r="M2203" i="1"/>
  <c r="O2202" i="1" a="1"/>
  <c r="O2202" i="1" s="1"/>
  <c r="M2202" i="1"/>
  <c r="O2201" i="1" a="1"/>
  <c r="O2201" i="1" s="1"/>
  <c r="M2201" i="1"/>
  <c r="O2200" i="1" a="1"/>
  <c r="O2200" i="1" s="1"/>
  <c r="M2200" i="1"/>
  <c r="O2199" i="1" a="1"/>
  <c r="O2199" i="1" s="1"/>
  <c r="M2199" i="1"/>
  <c r="O2198" i="1" a="1"/>
  <c r="O2198" i="1" s="1"/>
  <c r="M2198" i="1"/>
  <c r="O2197" i="1" a="1"/>
  <c r="O2197" i="1" s="1"/>
  <c r="M2197" i="1"/>
  <c r="O2196" i="1" a="1"/>
  <c r="O2196" i="1" s="1"/>
  <c r="M2196" i="1"/>
  <c r="O2195" i="1" a="1"/>
  <c r="O2195" i="1" s="1"/>
  <c r="M2195" i="1"/>
  <c r="O2194" i="1" a="1"/>
  <c r="O2194" i="1" s="1"/>
  <c r="M2194" i="1"/>
  <c r="O2193" i="1" a="1"/>
  <c r="O2193" i="1" s="1"/>
  <c r="M2193" i="1"/>
  <c r="O2192" i="1" a="1"/>
  <c r="O2192" i="1" s="1"/>
  <c r="M2192" i="1"/>
  <c r="O2191" i="1" a="1"/>
  <c r="O2191" i="1" s="1"/>
  <c r="M2191" i="1"/>
  <c r="O2190" i="1" a="1"/>
  <c r="O2190" i="1" s="1"/>
  <c r="M2190" i="1"/>
  <c r="O2189" i="1" a="1"/>
  <c r="O2189" i="1" s="1"/>
  <c r="M2189" i="1"/>
  <c r="O2188" i="1" a="1"/>
  <c r="O2188" i="1" s="1"/>
  <c r="M2188" i="1"/>
  <c r="O2187" i="1" a="1"/>
  <c r="O2187" i="1" s="1"/>
  <c r="M2187" i="1"/>
  <c r="O2186" i="1" a="1"/>
  <c r="O2186" i="1" s="1"/>
  <c r="M2186" i="1"/>
  <c r="O2185" i="1" a="1"/>
  <c r="O2185" i="1" s="1"/>
  <c r="M2185" i="1"/>
  <c r="O2184" i="1" a="1"/>
  <c r="O2184" i="1" s="1"/>
  <c r="M2184" i="1"/>
  <c r="O2183" i="1" a="1"/>
  <c r="O2183" i="1" s="1"/>
  <c r="M2183" i="1"/>
  <c r="O2182" i="1" a="1"/>
  <c r="O2182" i="1" s="1"/>
  <c r="M2182" i="1"/>
  <c r="O2181" i="1" a="1"/>
  <c r="O2181" i="1" s="1"/>
  <c r="M2181" i="1"/>
  <c r="O2180" i="1" a="1"/>
  <c r="O2180" i="1" s="1"/>
  <c r="M2180" i="1"/>
  <c r="O2179" i="1" a="1"/>
  <c r="O2179" i="1" s="1"/>
  <c r="M2179" i="1"/>
  <c r="O2178" i="1" a="1"/>
  <c r="O2178" i="1" s="1"/>
  <c r="M2178" i="1"/>
  <c r="O2177" i="1" a="1"/>
  <c r="O2177" i="1" s="1"/>
  <c r="M2177" i="1"/>
  <c r="O2176" i="1" a="1"/>
  <c r="O2176" i="1" s="1"/>
  <c r="M2176" i="1"/>
  <c r="O2175" i="1" a="1"/>
  <c r="O2175" i="1" s="1"/>
  <c r="M2175" i="1"/>
  <c r="O2174" i="1" a="1"/>
  <c r="O2174" i="1" s="1"/>
  <c r="M2174" i="1"/>
  <c r="O2173" i="1" a="1"/>
  <c r="O2173" i="1" s="1"/>
  <c r="M2173" i="1"/>
  <c r="O2172" i="1" a="1"/>
  <c r="O2172" i="1" s="1"/>
  <c r="M2172" i="1"/>
  <c r="O2171" i="1" a="1"/>
  <c r="O2171" i="1" s="1"/>
  <c r="M2171" i="1"/>
  <c r="O2170" i="1" a="1"/>
  <c r="O2170" i="1" s="1"/>
  <c r="M2170" i="1"/>
  <c r="O2169" i="1" a="1"/>
  <c r="O2169" i="1" s="1"/>
  <c r="M2169" i="1"/>
  <c r="O2168" i="1" a="1"/>
  <c r="O2168" i="1" s="1"/>
  <c r="M2168" i="1"/>
  <c r="O2167" i="1" a="1"/>
  <c r="O2167" i="1" s="1"/>
  <c r="M2167" i="1"/>
  <c r="O2166" i="1" a="1"/>
  <c r="O2166" i="1" s="1"/>
  <c r="M2166" i="1"/>
  <c r="O2165" i="1" a="1"/>
  <c r="O2165" i="1" s="1"/>
  <c r="M2165" i="1"/>
  <c r="O2164" i="1" a="1"/>
  <c r="O2164" i="1" s="1"/>
  <c r="M2164" i="1"/>
  <c r="O2163" i="1" a="1"/>
  <c r="O2163" i="1" s="1"/>
  <c r="M2163" i="1"/>
  <c r="O2162" i="1" a="1"/>
  <c r="O2162" i="1" s="1"/>
  <c r="M2162" i="1"/>
  <c r="O2161" i="1" a="1"/>
  <c r="O2161" i="1" s="1"/>
  <c r="M2161" i="1"/>
  <c r="O2160" i="1" a="1"/>
  <c r="O2160" i="1" s="1"/>
  <c r="M2160" i="1"/>
  <c r="O2159" i="1" a="1"/>
  <c r="O2159" i="1" s="1"/>
  <c r="M2159" i="1"/>
  <c r="O2158" i="1" a="1"/>
  <c r="O2158" i="1" s="1"/>
  <c r="M2158" i="1"/>
  <c r="O2157" i="1" a="1"/>
  <c r="O2157" i="1" s="1"/>
  <c r="M2157" i="1"/>
  <c r="O2156" i="1" a="1"/>
  <c r="O2156" i="1" s="1"/>
  <c r="M2156" i="1"/>
  <c r="O2155" i="1" a="1"/>
  <c r="O2155" i="1" s="1"/>
  <c r="M2155" i="1"/>
  <c r="O2154" i="1" a="1"/>
  <c r="O2154" i="1" s="1"/>
  <c r="M2154" i="1"/>
  <c r="O2153" i="1" a="1"/>
  <c r="O2153" i="1" s="1"/>
  <c r="M2153" i="1"/>
  <c r="O2152" i="1" a="1"/>
  <c r="O2152" i="1" s="1"/>
  <c r="M2152" i="1"/>
  <c r="O2151" i="1" a="1"/>
  <c r="O2151" i="1" s="1"/>
  <c r="M2151" i="1"/>
  <c r="O2150" i="1" a="1"/>
  <c r="O2150" i="1" s="1"/>
  <c r="M2150" i="1"/>
  <c r="O2149" i="1" a="1"/>
  <c r="O2149" i="1" s="1"/>
  <c r="M2149" i="1"/>
  <c r="O2148" i="1" a="1"/>
  <c r="O2148" i="1" s="1"/>
  <c r="M2148" i="1"/>
  <c r="O2147" i="1" a="1"/>
  <c r="O2147" i="1" s="1"/>
  <c r="M2147" i="1"/>
  <c r="O2146" i="1" a="1"/>
  <c r="O2146" i="1" s="1"/>
  <c r="M2146" i="1"/>
  <c r="O2145" i="1" a="1"/>
  <c r="O2145" i="1" s="1"/>
  <c r="M2145" i="1"/>
  <c r="O2144" i="1" a="1"/>
  <c r="O2144" i="1" s="1"/>
  <c r="M2144" i="1"/>
  <c r="O2143" i="1" a="1"/>
  <c r="O2143" i="1" s="1"/>
  <c r="M2143" i="1"/>
  <c r="O2142" i="1" a="1"/>
  <c r="O2142" i="1" s="1"/>
  <c r="M2142" i="1"/>
  <c r="O2141" i="1" a="1"/>
  <c r="O2141" i="1" s="1"/>
  <c r="M2141" i="1"/>
  <c r="O2140" i="1" a="1"/>
  <c r="O2140" i="1" s="1"/>
  <c r="M2140" i="1"/>
  <c r="O2139" i="1" a="1"/>
  <c r="O2139" i="1" s="1"/>
  <c r="M2139" i="1"/>
  <c r="O2138" i="1" a="1"/>
  <c r="O2138" i="1" s="1"/>
  <c r="M2138" i="1"/>
  <c r="O2137" i="1" a="1"/>
  <c r="O2137" i="1" s="1"/>
  <c r="M2137" i="1"/>
  <c r="O2136" i="1" a="1"/>
  <c r="O2136" i="1" s="1"/>
  <c r="M2136" i="1"/>
  <c r="O2135" i="1" a="1"/>
  <c r="O2135" i="1" s="1"/>
  <c r="M2135" i="1"/>
  <c r="O2134" i="1" a="1"/>
  <c r="O2134" i="1" s="1"/>
  <c r="M2134" i="1"/>
  <c r="O2133" i="1" a="1"/>
  <c r="O2133" i="1" s="1"/>
  <c r="M2133" i="1"/>
  <c r="O2132" i="1" a="1"/>
  <c r="O2132" i="1" s="1"/>
  <c r="M2132" i="1"/>
  <c r="O2131" i="1" a="1"/>
  <c r="O2131" i="1" s="1"/>
  <c r="M2131" i="1"/>
  <c r="O2130" i="1" a="1"/>
  <c r="O2130" i="1" s="1"/>
  <c r="M2130" i="1"/>
  <c r="O2129" i="1" a="1"/>
  <c r="O2129" i="1" s="1"/>
  <c r="M2129" i="1"/>
  <c r="O2128" i="1" a="1"/>
  <c r="O2128" i="1" s="1"/>
  <c r="M2128" i="1"/>
  <c r="O2127" i="1" a="1"/>
  <c r="O2127" i="1" s="1"/>
  <c r="M2127" i="1"/>
  <c r="O2126" i="1" a="1"/>
  <c r="O2126" i="1" s="1"/>
  <c r="M2126" i="1"/>
  <c r="O2125" i="1" a="1"/>
  <c r="O2125" i="1" s="1"/>
  <c r="M2125" i="1"/>
  <c r="O2124" i="1" a="1"/>
  <c r="O2124" i="1" s="1"/>
  <c r="M2124" i="1"/>
  <c r="O2123" i="1" a="1"/>
  <c r="O2123" i="1" s="1"/>
  <c r="M2123" i="1"/>
  <c r="O2122" i="1" a="1"/>
  <c r="O2122" i="1" s="1"/>
  <c r="M2122" i="1"/>
  <c r="O2121" i="1" a="1"/>
  <c r="O2121" i="1" s="1"/>
  <c r="M2121" i="1"/>
  <c r="O2120" i="1" a="1"/>
  <c r="O2120" i="1" s="1"/>
  <c r="M2120" i="1"/>
  <c r="O2119" i="1" a="1"/>
  <c r="O2119" i="1" s="1"/>
  <c r="M2119" i="1"/>
  <c r="O2118" i="1" a="1"/>
  <c r="O2118" i="1" s="1"/>
  <c r="M2118" i="1"/>
  <c r="O2117" i="1" a="1"/>
  <c r="O2117" i="1" s="1"/>
  <c r="M2117" i="1"/>
  <c r="O2116" i="1" a="1"/>
  <c r="O2116" i="1" s="1"/>
  <c r="M2116" i="1"/>
  <c r="O2115" i="1" a="1"/>
  <c r="O2115" i="1" s="1"/>
  <c r="M2115" i="1"/>
  <c r="O2114" i="1" a="1"/>
  <c r="O2114" i="1" s="1"/>
  <c r="M2114" i="1"/>
  <c r="O2113" i="1" a="1"/>
  <c r="O2113" i="1" s="1"/>
  <c r="M2113" i="1"/>
  <c r="O2112" i="1" a="1"/>
  <c r="O2112" i="1" s="1"/>
  <c r="M2112" i="1"/>
  <c r="O2111" i="1" a="1"/>
  <c r="O2111" i="1" s="1"/>
  <c r="M2111" i="1"/>
  <c r="O2110" i="1" a="1"/>
  <c r="O2110" i="1" s="1"/>
  <c r="M2110" i="1"/>
  <c r="O2109" i="1" a="1"/>
  <c r="O2109" i="1" s="1"/>
  <c r="M2109" i="1"/>
  <c r="O2108" i="1" a="1"/>
  <c r="O2108" i="1" s="1"/>
  <c r="M2108" i="1"/>
  <c r="O2107" i="1" a="1"/>
  <c r="O2107" i="1" s="1"/>
  <c r="M2107" i="1"/>
  <c r="O2106" i="1" a="1"/>
  <c r="O2106" i="1" s="1"/>
  <c r="M2106" i="1"/>
  <c r="O2105" i="1" a="1"/>
  <c r="O2105" i="1" s="1"/>
  <c r="M2105" i="1"/>
  <c r="O2104" i="1" a="1"/>
  <c r="O2104" i="1" s="1"/>
  <c r="M2104" i="1"/>
  <c r="O2103" i="1" a="1"/>
  <c r="O2103" i="1" s="1"/>
  <c r="M2103" i="1"/>
  <c r="O2102" i="1" a="1"/>
  <c r="O2102" i="1" s="1"/>
  <c r="M2102" i="1"/>
  <c r="O2101" i="1" a="1"/>
  <c r="O2101" i="1" s="1"/>
  <c r="M2101" i="1"/>
  <c r="O2100" i="1" a="1"/>
  <c r="O2100" i="1" s="1"/>
  <c r="M2100" i="1"/>
  <c r="O2099" i="1" a="1"/>
  <c r="O2099" i="1" s="1"/>
  <c r="M2099" i="1"/>
  <c r="O2098" i="1" a="1"/>
  <c r="O2098" i="1" s="1"/>
  <c r="M2098" i="1"/>
  <c r="O2097" i="1" a="1"/>
  <c r="O2097" i="1" s="1"/>
  <c r="M2097" i="1"/>
  <c r="O2096" i="1" a="1"/>
  <c r="O2096" i="1" s="1"/>
  <c r="M2096" i="1"/>
  <c r="O2095" i="1" a="1"/>
  <c r="O2095" i="1" s="1"/>
  <c r="M2095" i="1"/>
  <c r="O2094" i="1" a="1"/>
  <c r="O2094" i="1" s="1"/>
  <c r="M2094" i="1"/>
  <c r="O2093" i="1" a="1"/>
  <c r="O2093" i="1" s="1"/>
  <c r="M2093" i="1"/>
  <c r="O2092" i="1" a="1"/>
  <c r="O2092" i="1" s="1"/>
  <c r="M2092" i="1"/>
  <c r="O2091" i="1" a="1"/>
  <c r="O2091" i="1" s="1"/>
  <c r="M2091" i="1"/>
  <c r="O2090" i="1" a="1"/>
  <c r="O2090" i="1" s="1"/>
  <c r="M2090" i="1"/>
  <c r="O2089" i="1" a="1"/>
  <c r="O2089" i="1" s="1"/>
  <c r="M2089" i="1"/>
  <c r="O2088" i="1" a="1"/>
  <c r="O2088" i="1" s="1"/>
  <c r="M2088" i="1"/>
  <c r="O2087" i="1" a="1"/>
  <c r="O2087" i="1" s="1"/>
  <c r="M2087" i="1"/>
  <c r="O2086" i="1" a="1"/>
  <c r="O2086" i="1" s="1"/>
  <c r="M2086" i="1"/>
  <c r="O2085" i="1" a="1"/>
  <c r="O2085" i="1" s="1"/>
  <c r="M2085" i="1"/>
  <c r="O2084" i="1" a="1"/>
  <c r="O2084" i="1" s="1"/>
  <c r="M2084" i="1"/>
  <c r="O2083" i="1" a="1"/>
  <c r="O2083" i="1" s="1"/>
  <c r="M2083" i="1"/>
  <c r="O2082" i="1" a="1"/>
  <c r="O2082" i="1" s="1"/>
  <c r="M2082" i="1"/>
  <c r="O2081" i="1" a="1"/>
  <c r="O2081" i="1" s="1"/>
  <c r="M2081" i="1"/>
  <c r="O2080" i="1" a="1"/>
  <c r="O2080" i="1" s="1"/>
  <c r="M2080" i="1"/>
  <c r="O2079" i="1" a="1"/>
  <c r="O2079" i="1" s="1"/>
  <c r="M2079" i="1"/>
  <c r="O2078" i="1" a="1"/>
  <c r="O2078" i="1" s="1"/>
  <c r="M2078" i="1"/>
  <c r="O2077" i="1" a="1"/>
  <c r="O2077" i="1" s="1"/>
  <c r="M2077" i="1"/>
  <c r="O2076" i="1" a="1"/>
  <c r="O2076" i="1" s="1"/>
  <c r="M2076" i="1"/>
  <c r="O2075" i="1" a="1"/>
  <c r="O2075" i="1" s="1"/>
  <c r="M2075" i="1"/>
  <c r="O2074" i="1" a="1"/>
  <c r="O2074" i="1" s="1"/>
  <c r="M2074" i="1"/>
  <c r="O2073" i="1" a="1"/>
  <c r="O2073" i="1" s="1"/>
  <c r="M2073" i="1"/>
  <c r="O2072" i="1" a="1"/>
  <c r="O2072" i="1" s="1"/>
  <c r="M2072" i="1"/>
  <c r="O2071" i="1" a="1"/>
  <c r="O2071" i="1" s="1"/>
  <c r="M2071" i="1"/>
  <c r="O2070" i="1" a="1"/>
  <c r="O2070" i="1" s="1"/>
  <c r="M2070" i="1"/>
  <c r="O2069" i="1" a="1"/>
  <c r="O2069" i="1" s="1"/>
  <c r="M2069" i="1"/>
  <c r="O2068" i="1" a="1"/>
  <c r="O2068" i="1" s="1"/>
  <c r="M2068" i="1"/>
  <c r="O2067" i="1" a="1"/>
  <c r="O2067" i="1" s="1"/>
  <c r="M2067" i="1"/>
  <c r="O2066" i="1" a="1"/>
  <c r="O2066" i="1" s="1"/>
  <c r="M2066" i="1"/>
  <c r="O2065" i="1" a="1"/>
  <c r="O2065" i="1" s="1"/>
  <c r="M2065" i="1"/>
  <c r="O2064" i="1" a="1"/>
  <c r="O2064" i="1" s="1"/>
  <c r="M2064" i="1"/>
  <c r="O2063" i="1" a="1"/>
  <c r="O2063" i="1" s="1"/>
  <c r="M2063" i="1"/>
  <c r="O2062" i="1" a="1"/>
  <c r="O2062" i="1" s="1"/>
  <c r="M2062" i="1"/>
  <c r="O2061" i="1" a="1"/>
  <c r="O2061" i="1" s="1"/>
  <c r="M2061" i="1"/>
  <c r="O2060" i="1" a="1"/>
  <c r="O2060" i="1" s="1"/>
  <c r="M2060" i="1"/>
  <c r="O2059" i="1" a="1"/>
  <c r="O2059" i="1" s="1"/>
  <c r="M2059" i="1"/>
  <c r="O2058" i="1" a="1"/>
  <c r="O2058" i="1" s="1"/>
  <c r="M2058" i="1"/>
  <c r="O2057" i="1" a="1"/>
  <c r="O2057" i="1" s="1"/>
  <c r="M2057" i="1"/>
  <c r="O2056" i="1" a="1"/>
  <c r="O2056" i="1" s="1"/>
  <c r="M2056" i="1"/>
  <c r="O2055" i="1" a="1"/>
  <c r="O2055" i="1" s="1"/>
  <c r="M2055" i="1"/>
  <c r="O2054" i="1" a="1"/>
  <c r="O2054" i="1" s="1"/>
  <c r="M2054" i="1"/>
  <c r="O2053" i="1" a="1"/>
  <c r="O2053" i="1" s="1"/>
  <c r="M2053" i="1"/>
  <c r="O2052" i="1" a="1"/>
  <c r="O2052" i="1" s="1"/>
  <c r="M2052" i="1"/>
  <c r="O2051" i="1" a="1"/>
  <c r="O2051" i="1" s="1"/>
  <c r="M2051" i="1"/>
  <c r="O2050" i="1" a="1"/>
  <c r="O2050" i="1" s="1"/>
  <c r="M2050" i="1"/>
  <c r="O2049" i="1" a="1"/>
  <c r="O2049" i="1" s="1"/>
  <c r="M2049" i="1"/>
  <c r="O2048" i="1" a="1"/>
  <c r="O2048" i="1" s="1"/>
  <c r="M2048" i="1"/>
  <c r="O2047" i="1" a="1"/>
  <c r="O2047" i="1" s="1"/>
  <c r="M2047" i="1"/>
  <c r="O2046" i="1" a="1"/>
  <c r="O2046" i="1" s="1"/>
  <c r="M2046" i="1"/>
  <c r="O2045" i="1" a="1"/>
  <c r="O2045" i="1" s="1"/>
  <c r="M2045" i="1"/>
  <c r="O2044" i="1" a="1"/>
  <c r="O2044" i="1" s="1"/>
  <c r="M2044" i="1"/>
  <c r="O2043" i="1" a="1"/>
  <c r="O2043" i="1" s="1"/>
  <c r="M2043" i="1"/>
  <c r="O2042" i="1" a="1"/>
  <c r="O2042" i="1" s="1"/>
  <c r="M2042" i="1"/>
  <c r="O2041" i="1" a="1"/>
  <c r="O2041" i="1" s="1"/>
  <c r="M2041" i="1"/>
  <c r="O2040" i="1" a="1"/>
  <c r="O2040" i="1" s="1"/>
  <c r="M2040" i="1"/>
  <c r="O2039" i="1" a="1"/>
  <c r="O2039" i="1" s="1"/>
  <c r="M2039" i="1"/>
  <c r="O2038" i="1" a="1"/>
  <c r="O2038" i="1" s="1"/>
  <c r="M2038" i="1"/>
  <c r="O2037" i="1" a="1"/>
  <c r="O2037" i="1" s="1"/>
  <c r="M2037" i="1"/>
  <c r="O2036" i="1" a="1"/>
  <c r="O2036" i="1" s="1"/>
  <c r="M2036" i="1"/>
  <c r="O2035" i="1" a="1"/>
  <c r="O2035" i="1" s="1"/>
  <c r="M2035" i="1"/>
  <c r="O2034" i="1" a="1"/>
  <c r="O2034" i="1" s="1"/>
  <c r="M2034" i="1"/>
  <c r="O2033" i="1" a="1"/>
  <c r="O2033" i="1" s="1"/>
  <c r="M2033" i="1"/>
  <c r="O2032" i="1" a="1"/>
  <c r="O2032" i="1" s="1"/>
  <c r="M2032" i="1"/>
  <c r="O2031" i="1" a="1"/>
  <c r="O2031" i="1" s="1"/>
  <c r="M2031" i="1"/>
  <c r="O2030" i="1" a="1"/>
  <c r="O2030" i="1" s="1"/>
  <c r="M2030" i="1"/>
  <c r="O2029" i="1" a="1"/>
  <c r="O2029" i="1" s="1"/>
  <c r="M2029" i="1"/>
  <c r="O2028" i="1" a="1"/>
  <c r="O2028" i="1" s="1"/>
  <c r="M2028" i="1"/>
  <c r="O2027" i="1" a="1"/>
  <c r="O2027" i="1" s="1"/>
  <c r="M2027" i="1"/>
  <c r="O2026" i="1" a="1"/>
  <c r="O2026" i="1" s="1"/>
  <c r="M2026" i="1"/>
  <c r="O2025" i="1" a="1"/>
  <c r="O2025" i="1" s="1"/>
  <c r="M2025" i="1"/>
  <c r="O2024" i="1" a="1"/>
  <c r="O2024" i="1" s="1"/>
  <c r="M2024" i="1"/>
  <c r="O2023" i="1" a="1"/>
  <c r="O2023" i="1" s="1"/>
  <c r="M2023" i="1"/>
  <c r="O2022" i="1" a="1"/>
  <c r="O2022" i="1" s="1"/>
  <c r="M2022" i="1"/>
  <c r="O2021" i="1" a="1"/>
  <c r="O2021" i="1" s="1"/>
  <c r="M2021" i="1"/>
  <c r="O2020" i="1" a="1"/>
  <c r="O2020" i="1" s="1"/>
  <c r="M2020" i="1"/>
  <c r="O2019" i="1" a="1"/>
  <c r="O2019" i="1" s="1"/>
  <c r="M2019" i="1"/>
  <c r="O2018" i="1" a="1"/>
  <c r="O2018" i="1" s="1"/>
  <c r="M2018" i="1"/>
  <c r="O2017" i="1" a="1"/>
  <c r="O2017" i="1" s="1"/>
  <c r="M2017" i="1"/>
  <c r="O2016" i="1" a="1"/>
  <c r="O2016" i="1" s="1"/>
  <c r="M2016" i="1"/>
  <c r="O2015" i="1" a="1"/>
  <c r="O2015" i="1" s="1"/>
  <c r="M2015" i="1"/>
  <c r="O2014" i="1" a="1"/>
  <c r="O2014" i="1" s="1"/>
  <c r="M2014" i="1"/>
  <c r="O2013" i="1" a="1"/>
  <c r="O2013" i="1" s="1"/>
  <c r="M2013" i="1"/>
  <c r="O2012" i="1" a="1"/>
  <c r="O2012" i="1" s="1"/>
  <c r="M2012" i="1"/>
  <c r="O2011" i="1" a="1"/>
  <c r="O2011" i="1" s="1"/>
  <c r="M2011" i="1"/>
  <c r="O2010" i="1" a="1"/>
  <c r="O2010" i="1" s="1"/>
  <c r="M2010" i="1"/>
  <c r="O2009" i="1" a="1"/>
  <c r="O2009" i="1" s="1"/>
  <c r="M2009" i="1"/>
  <c r="O2008" i="1" a="1"/>
  <c r="O2008" i="1" s="1"/>
  <c r="M2008" i="1"/>
  <c r="O2007" i="1" a="1"/>
  <c r="O2007" i="1" s="1"/>
  <c r="M2007" i="1"/>
  <c r="O2006" i="1" a="1"/>
  <c r="O2006" i="1" s="1"/>
  <c r="M2006" i="1"/>
  <c r="O2005" i="1" a="1"/>
  <c r="O2005" i="1" s="1"/>
  <c r="M2005" i="1"/>
  <c r="O2004" i="1" a="1"/>
  <c r="O2004" i="1" s="1"/>
  <c r="M2004" i="1"/>
  <c r="O2003" i="1" a="1"/>
  <c r="O2003" i="1" s="1"/>
  <c r="M2003" i="1"/>
  <c r="O2002" i="1" a="1"/>
  <c r="O2002" i="1" s="1"/>
  <c r="M2002" i="1"/>
  <c r="O2001" i="1" a="1"/>
  <c r="O2001" i="1" s="1"/>
  <c r="M2001" i="1"/>
  <c r="O2000" i="1" a="1"/>
  <c r="O2000" i="1" s="1"/>
  <c r="M2000" i="1"/>
  <c r="O1999" i="1" a="1"/>
  <c r="O1999" i="1" s="1"/>
  <c r="M1999" i="1"/>
  <c r="O1998" i="1" a="1"/>
  <c r="O1998" i="1" s="1"/>
  <c r="M1998" i="1"/>
  <c r="O1997" i="1" a="1"/>
  <c r="O1997" i="1" s="1"/>
  <c r="M1997" i="1"/>
  <c r="O1996" i="1" a="1"/>
  <c r="O1996" i="1" s="1"/>
  <c r="M1996" i="1"/>
  <c r="O1995" i="1" a="1"/>
  <c r="O1995" i="1" s="1"/>
  <c r="M1995" i="1"/>
  <c r="O1994" i="1" a="1"/>
  <c r="O1994" i="1" s="1"/>
  <c r="M1994" i="1"/>
  <c r="O1993" i="1" a="1"/>
  <c r="O1993" i="1" s="1"/>
  <c r="M1993" i="1"/>
  <c r="O1992" i="1" a="1"/>
  <c r="O1992" i="1" s="1"/>
  <c r="M1992" i="1"/>
  <c r="O1991" i="1" a="1"/>
  <c r="O1991" i="1" s="1"/>
  <c r="M1991" i="1"/>
  <c r="O1990" i="1" a="1"/>
  <c r="O1990" i="1" s="1"/>
  <c r="M1990" i="1"/>
  <c r="O1989" i="1" a="1"/>
  <c r="O1989" i="1" s="1"/>
  <c r="M1989" i="1"/>
  <c r="O1988" i="1" a="1"/>
  <c r="O1988" i="1" s="1"/>
  <c r="M1988" i="1"/>
  <c r="O1987" i="1" a="1"/>
  <c r="O1987" i="1" s="1"/>
  <c r="M1987" i="1"/>
  <c r="O1986" i="1" a="1"/>
  <c r="O1986" i="1" s="1"/>
  <c r="M1986" i="1"/>
  <c r="O1985" i="1" a="1"/>
  <c r="O1985" i="1" s="1"/>
  <c r="M1985" i="1"/>
  <c r="O1984" i="1" a="1"/>
  <c r="O1984" i="1" s="1"/>
  <c r="M1984" i="1"/>
  <c r="O1983" i="1" a="1"/>
  <c r="O1983" i="1" s="1"/>
  <c r="M1983" i="1"/>
  <c r="O1982" i="1" a="1"/>
  <c r="O1982" i="1" s="1"/>
  <c r="M1982" i="1"/>
  <c r="O1981" i="1" a="1"/>
  <c r="O1981" i="1" s="1"/>
  <c r="M1981" i="1"/>
  <c r="O1980" i="1" a="1"/>
  <c r="O1980" i="1" s="1"/>
  <c r="M1980" i="1"/>
  <c r="O1979" i="1" a="1"/>
  <c r="O1979" i="1" s="1"/>
  <c r="M1979" i="1"/>
  <c r="O1978" i="1" a="1"/>
  <c r="O1978" i="1" s="1"/>
  <c r="M1978" i="1"/>
  <c r="O1977" i="1" a="1"/>
  <c r="O1977" i="1" s="1"/>
  <c r="M1977" i="1"/>
  <c r="O1976" i="1" a="1"/>
  <c r="O1976" i="1" s="1"/>
  <c r="M1976" i="1"/>
  <c r="O1975" i="1" a="1"/>
  <c r="O1975" i="1" s="1"/>
  <c r="M1975" i="1"/>
  <c r="O1974" i="1" a="1"/>
  <c r="O1974" i="1" s="1"/>
  <c r="M1974" i="1"/>
  <c r="O1973" i="1" a="1"/>
  <c r="O1973" i="1" s="1"/>
  <c r="M1973" i="1"/>
  <c r="O1972" i="1" a="1"/>
  <c r="O1972" i="1" s="1"/>
  <c r="M1972" i="1"/>
  <c r="O1971" i="1" a="1"/>
  <c r="O1971" i="1" s="1"/>
  <c r="M1971" i="1"/>
  <c r="O1970" i="1" a="1"/>
  <c r="O1970" i="1" s="1"/>
  <c r="M1970" i="1"/>
  <c r="O1969" i="1" a="1"/>
  <c r="O1969" i="1" s="1"/>
  <c r="M1969" i="1"/>
  <c r="O1968" i="1" a="1"/>
  <c r="O1968" i="1" s="1"/>
  <c r="M1968" i="1"/>
  <c r="O1967" i="1" a="1"/>
  <c r="O1967" i="1" s="1"/>
  <c r="M1967" i="1"/>
  <c r="O1966" i="1" a="1"/>
  <c r="O1966" i="1" s="1"/>
  <c r="M1966" i="1"/>
  <c r="O1965" i="1" a="1"/>
  <c r="O1965" i="1" s="1"/>
  <c r="M1965" i="1"/>
  <c r="O1964" i="1" a="1"/>
  <c r="O1964" i="1" s="1"/>
  <c r="M1964" i="1"/>
  <c r="O1963" i="1" a="1"/>
  <c r="O1963" i="1" s="1"/>
  <c r="M1963" i="1"/>
  <c r="O1962" i="1" a="1"/>
  <c r="O1962" i="1" s="1"/>
  <c r="M1962" i="1"/>
  <c r="O1961" i="1" a="1"/>
  <c r="O1961" i="1" s="1"/>
  <c r="M1961" i="1"/>
  <c r="O1960" i="1" a="1"/>
  <c r="O1960" i="1" s="1"/>
  <c r="M1960" i="1"/>
  <c r="O1959" i="1" a="1"/>
  <c r="O1959" i="1" s="1"/>
  <c r="M1959" i="1"/>
  <c r="O1958" i="1" a="1"/>
  <c r="O1958" i="1" s="1"/>
  <c r="M1958" i="1"/>
  <c r="O1957" i="1" a="1"/>
  <c r="O1957" i="1" s="1"/>
  <c r="M1957" i="1"/>
  <c r="O1956" i="1" a="1"/>
  <c r="O1956" i="1" s="1"/>
  <c r="M1956" i="1"/>
  <c r="O1955" i="1" a="1"/>
  <c r="O1955" i="1" s="1"/>
  <c r="M1955" i="1"/>
  <c r="O1954" i="1" a="1"/>
  <c r="O1954" i="1" s="1"/>
  <c r="M1954" i="1"/>
  <c r="O1953" i="1" a="1"/>
  <c r="O1953" i="1" s="1"/>
  <c r="M1953" i="1"/>
  <c r="O1952" i="1" a="1"/>
  <c r="O1952" i="1" s="1"/>
  <c r="M1952" i="1"/>
  <c r="O1951" i="1" a="1"/>
  <c r="O1951" i="1" s="1"/>
  <c r="M1951" i="1"/>
  <c r="O1950" i="1" a="1"/>
  <c r="O1950" i="1" s="1"/>
  <c r="M1950" i="1"/>
  <c r="O1949" i="1" a="1"/>
  <c r="O1949" i="1" s="1"/>
  <c r="M1949" i="1"/>
  <c r="O1948" i="1" a="1"/>
  <c r="O1948" i="1" s="1"/>
  <c r="M1948" i="1"/>
  <c r="O1947" i="1" a="1"/>
  <c r="O1947" i="1" s="1"/>
  <c r="M1947" i="1"/>
  <c r="O1946" i="1" a="1"/>
  <c r="O1946" i="1" s="1"/>
  <c r="M1946" i="1"/>
  <c r="O1945" i="1" a="1"/>
  <c r="O1945" i="1" s="1"/>
  <c r="M1945" i="1"/>
  <c r="O1944" i="1" a="1"/>
  <c r="O1944" i="1" s="1"/>
  <c r="M1944" i="1"/>
  <c r="O1943" i="1" a="1"/>
  <c r="O1943" i="1" s="1"/>
  <c r="M1943" i="1"/>
  <c r="O1942" i="1" a="1"/>
  <c r="O1942" i="1" s="1"/>
  <c r="M1942" i="1"/>
  <c r="O1941" i="1" a="1"/>
  <c r="O1941" i="1" s="1"/>
  <c r="M1941" i="1"/>
  <c r="O1940" i="1" a="1"/>
  <c r="O1940" i="1" s="1"/>
  <c r="M1940" i="1"/>
  <c r="O1939" i="1" a="1"/>
  <c r="O1939" i="1" s="1"/>
  <c r="M1939" i="1"/>
  <c r="O1938" i="1" a="1"/>
  <c r="O1938" i="1" s="1"/>
  <c r="M1938" i="1"/>
  <c r="O1937" i="1" a="1"/>
  <c r="O1937" i="1" s="1"/>
  <c r="M1937" i="1"/>
  <c r="O1936" i="1" a="1"/>
  <c r="O1936" i="1" s="1"/>
  <c r="M1936" i="1"/>
  <c r="O1935" i="1" a="1"/>
  <c r="O1935" i="1" s="1"/>
  <c r="M1935" i="1"/>
  <c r="O1934" i="1" a="1"/>
  <c r="O1934" i="1" s="1"/>
  <c r="M1934" i="1"/>
  <c r="O1933" i="1" a="1"/>
  <c r="O1933" i="1" s="1"/>
  <c r="M1933" i="1"/>
  <c r="O1932" i="1" a="1"/>
  <c r="O1932" i="1" s="1"/>
  <c r="M1932" i="1"/>
  <c r="O1931" i="1" a="1"/>
  <c r="O1931" i="1" s="1"/>
  <c r="M1931" i="1"/>
  <c r="O1930" i="1" a="1"/>
  <c r="O1930" i="1" s="1"/>
  <c r="M1930" i="1"/>
  <c r="O1929" i="1" a="1"/>
  <c r="O1929" i="1" s="1"/>
  <c r="M1929" i="1"/>
  <c r="O1928" i="1" a="1"/>
  <c r="O1928" i="1" s="1"/>
  <c r="M1928" i="1"/>
  <c r="O1927" i="1" a="1"/>
  <c r="O1927" i="1" s="1"/>
  <c r="M1927" i="1"/>
  <c r="O1926" i="1" a="1"/>
  <c r="O1926" i="1" s="1"/>
  <c r="M1926" i="1"/>
  <c r="O1925" i="1" a="1"/>
  <c r="O1925" i="1" s="1"/>
  <c r="M1925" i="1"/>
  <c r="O1924" i="1" a="1"/>
  <c r="O1924" i="1" s="1"/>
  <c r="M1924" i="1"/>
  <c r="O1923" i="1" a="1"/>
  <c r="O1923" i="1" s="1"/>
  <c r="M1923" i="1"/>
  <c r="O1922" i="1" a="1"/>
  <c r="O1922" i="1" s="1"/>
  <c r="M1922" i="1"/>
  <c r="O1921" i="1" a="1"/>
  <c r="O1921" i="1" s="1"/>
  <c r="M1921" i="1"/>
  <c r="O1920" i="1" a="1"/>
  <c r="O1920" i="1" s="1"/>
  <c r="M1920" i="1"/>
  <c r="O1919" i="1" a="1"/>
  <c r="O1919" i="1" s="1"/>
  <c r="M1919" i="1"/>
  <c r="O1918" i="1" a="1"/>
  <c r="O1918" i="1" s="1"/>
  <c r="M1918" i="1"/>
  <c r="O1917" i="1" a="1"/>
  <c r="O1917" i="1" s="1"/>
  <c r="M1917" i="1"/>
  <c r="O1916" i="1" a="1"/>
  <c r="O1916" i="1" s="1"/>
  <c r="M1916" i="1"/>
  <c r="O1915" i="1" a="1"/>
  <c r="O1915" i="1" s="1"/>
  <c r="M1915" i="1"/>
  <c r="O1914" i="1" a="1"/>
  <c r="O1914" i="1" s="1"/>
  <c r="M1914" i="1"/>
  <c r="O1913" i="1" a="1"/>
  <c r="O1913" i="1" s="1"/>
  <c r="M1913" i="1"/>
  <c r="O1912" i="1" a="1"/>
  <c r="O1912" i="1" s="1"/>
  <c r="M1912" i="1"/>
  <c r="O1911" i="1" a="1"/>
  <c r="O1911" i="1" s="1"/>
  <c r="M1911" i="1"/>
  <c r="O1910" i="1" a="1"/>
  <c r="O1910" i="1" s="1"/>
  <c r="M1910" i="1"/>
  <c r="O1909" i="1" a="1"/>
  <c r="O1909" i="1" s="1"/>
  <c r="M1909" i="1"/>
  <c r="O1908" i="1" a="1"/>
  <c r="O1908" i="1" s="1"/>
  <c r="M1908" i="1"/>
  <c r="O1907" i="1" a="1"/>
  <c r="O1907" i="1" s="1"/>
  <c r="M1907" i="1"/>
  <c r="O1906" i="1" a="1"/>
  <c r="O1906" i="1" s="1"/>
  <c r="M1906" i="1"/>
  <c r="O1905" i="1" a="1"/>
  <c r="O1905" i="1" s="1"/>
  <c r="M1905" i="1"/>
  <c r="O1904" i="1" a="1"/>
  <c r="O1904" i="1" s="1"/>
  <c r="M1904" i="1"/>
  <c r="O1903" i="1" a="1"/>
  <c r="O1903" i="1" s="1"/>
  <c r="M1903" i="1"/>
  <c r="O1902" i="1" a="1"/>
  <c r="O1902" i="1" s="1"/>
  <c r="M1902" i="1"/>
  <c r="O1901" i="1" a="1"/>
  <c r="O1901" i="1" s="1"/>
  <c r="M1901" i="1"/>
  <c r="O1900" i="1" a="1"/>
  <c r="O1900" i="1" s="1"/>
  <c r="M1900" i="1"/>
  <c r="O1899" i="1" a="1"/>
  <c r="O1899" i="1" s="1"/>
  <c r="M1899" i="1"/>
  <c r="O1898" i="1" a="1"/>
  <c r="O1898" i="1" s="1"/>
  <c r="M1898" i="1"/>
  <c r="O1897" i="1" a="1"/>
  <c r="O1897" i="1" s="1"/>
  <c r="M1897" i="1"/>
  <c r="O1896" i="1" a="1"/>
  <c r="O1896" i="1" s="1"/>
  <c r="M1896" i="1"/>
  <c r="O1895" i="1" a="1"/>
  <c r="O1895" i="1" s="1"/>
  <c r="M1895" i="1"/>
  <c r="O1894" i="1" a="1"/>
  <c r="O1894" i="1" s="1"/>
  <c r="M1894" i="1"/>
  <c r="O1893" i="1" a="1"/>
  <c r="O1893" i="1" s="1"/>
  <c r="M1893" i="1"/>
  <c r="O1892" i="1" a="1"/>
  <c r="O1892" i="1" s="1"/>
  <c r="M1892" i="1"/>
  <c r="O1891" i="1" a="1"/>
  <c r="O1891" i="1" s="1"/>
  <c r="M1891" i="1"/>
  <c r="O1890" i="1" a="1"/>
  <c r="O1890" i="1" s="1"/>
  <c r="M1890" i="1"/>
  <c r="O1889" i="1" a="1"/>
  <c r="O1889" i="1" s="1"/>
  <c r="M1889" i="1"/>
  <c r="O1888" i="1" a="1"/>
  <c r="O1888" i="1" s="1"/>
  <c r="M1888" i="1"/>
  <c r="O1887" i="1" a="1"/>
  <c r="O1887" i="1" s="1"/>
  <c r="M1887" i="1"/>
  <c r="O1886" i="1" a="1"/>
  <c r="O1886" i="1" s="1"/>
  <c r="M1886" i="1"/>
  <c r="O1885" i="1" a="1"/>
  <c r="O1885" i="1" s="1"/>
  <c r="M1885" i="1"/>
  <c r="O1884" i="1" a="1"/>
  <c r="O1884" i="1" s="1"/>
  <c r="M1884" i="1"/>
  <c r="O1883" i="1" a="1"/>
  <c r="O1883" i="1" s="1"/>
  <c r="M1883" i="1"/>
  <c r="O1882" i="1" a="1"/>
  <c r="O1882" i="1" s="1"/>
  <c r="M1882" i="1"/>
  <c r="O1881" i="1" a="1"/>
  <c r="O1881" i="1" s="1"/>
  <c r="M1881" i="1"/>
  <c r="O1880" i="1" a="1"/>
  <c r="O1880" i="1" s="1"/>
  <c r="M1880" i="1"/>
  <c r="O1879" i="1" a="1"/>
  <c r="O1879" i="1" s="1"/>
  <c r="M1879" i="1"/>
  <c r="O1878" i="1" a="1"/>
  <c r="O1878" i="1" s="1"/>
  <c r="M1878" i="1"/>
  <c r="O1877" i="1" a="1"/>
  <c r="O1877" i="1" s="1"/>
  <c r="M1877" i="1"/>
  <c r="O1876" i="1" a="1"/>
  <c r="O1876" i="1" s="1"/>
  <c r="M1876" i="1"/>
  <c r="O1875" i="1" a="1"/>
  <c r="O1875" i="1" s="1"/>
  <c r="M1875" i="1"/>
  <c r="O1874" i="1" a="1"/>
  <c r="O1874" i="1" s="1"/>
  <c r="M1874" i="1"/>
  <c r="O1873" i="1" a="1"/>
  <c r="O1873" i="1" s="1"/>
  <c r="M1873" i="1"/>
  <c r="O1872" i="1" a="1"/>
  <c r="O1872" i="1" s="1"/>
  <c r="M1872" i="1"/>
  <c r="O1871" i="1" a="1"/>
  <c r="O1871" i="1" s="1"/>
  <c r="M1871" i="1"/>
  <c r="O1870" i="1" a="1"/>
  <c r="O1870" i="1" s="1"/>
  <c r="M1870" i="1"/>
  <c r="O1869" i="1" a="1"/>
  <c r="O1869" i="1" s="1"/>
  <c r="M1869" i="1"/>
  <c r="O1868" i="1" a="1"/>
  <c r="O1868" i="1" s="1"/>
  <c r="M1868" i="1"/>
  <c r="O1867" i="1" a="1"/>
  <c r="O1867" i="1" s="1"/>
  <c r="M1867" i="1"/>
  <c r="O1866" i="1" a="1"/>
  <c r="O1866" i="1" s="1"/>
  <c r="M1866" i="1"/>
  <c r="O1865" i="1" a="1"/>
  <c r="O1865" i="1" s="1"/>
  <c r="M1865" i="1"/>
  <c r="O1864" i="1" a="1"/>
  <c r="O1864" i="1" s="1"/>
  <c r="M1864" i="1"/>
  <c r="O1863" i="1" a="1"/>
  <c r="O1863" i="1" s="1"/>
  <c r="M1863" i="1"/>
  <c r="O1862" i="1" a="1"/>
  <c r="O1862" i="1" s="1"/>
  <c r="M1862" i="1"/>
  <c r="O1861" i="1" a="1"/>
  <c r="O1861" i="1" s="1"/>
  <c r="M1861" i="1"/>
  <c r="O1860" i="1" a="1"/>
  <c r="O1860" i="1" s="1"/>
  <c r="M1860" i="1"/>
  <c r="O1859" i="1" a="1"/>
  <c r="O1859" i="1" s="1"/>
  <c r="M1859" i="1"/>
  <c r="O1858" i="1" a="1"/>
  <c r="O1858" i="1" s="1"/>
  <c r="M1858" i="1"/>
  <c r="O1857" i="1" a="1"/>
  <c r="O1857" i="1" s="1"/>
  <c r="M1857" i="1"/>
  <c r="O1856" i="1" a="1"/>
  <c r="O1856" i="1" s="1"/>
  <c r="M1856" i="1"/>
  <c r="O1855" i="1" a="1"/>
  <c r="O1855" i="1" s="1"/>
  <c r="M1855" i="1"/>
  <c r="O1854" i="1" a="1"/>
  <c r="O1854" i="1" s="1"/>
  <c r="M1854" i="1"/>
  <c r="O1853" i="1" a="1"/>
  <c r="O1853" i="1" s="1"/>
  <c r="M1853" i="1"/>
  <c r="O1852" i="1" a="1"/>
  <c r="O1852" i="1" s="1"/>
  <c r="M1852" i="1"/>
  <c r="O1851" i="1" a="1"/>
  <c r="O1851" i="1" s="1"/>
  <c r="M1851" i="1"/>
  <c r="O1850" i="1" a="1"/>
  <c r="O1850" i="1" s="1"/>
  <c r="M1850" i="1"/>
  <c r="O1849" i="1" a="1"/>
  <c r="O1849" i="1" s="1"/>
  <c r="M1849" i="1"/>
  <c r="O1848" i="1" a="1"/>
  <c r="O1848" i="1" s="1"/>
  <c r="M1848" i="1"/>
  <c r="O1847" i="1" a="1"/>
  <c r="O1847" i="1" s="1"/>
  <c r="M1847" i="1"/>
  <c r="O1846" i="1" a="1"/>
  <c r="O1846" i="1" s="1"/>
  <c r="M1846" i="1"/>
  <c r="O1845" i="1" a="1"/>
  <c r="O1845" i="1" s="1"/>
  <c r="M1845" i="1"/>
  <c r="O1844" i="1" a="1"/>
  <c r="O1844" i="1" s="1"/>
  <c r="M1844" i="1"/>
  <c r="O1843" i="1" a="1"/>
  <c r="O1843" i="1" s="1"/>
  <c r="M1843" i="1"/>
  <c r="O1842" i="1" a="1"/>
  <c r="O1842" i="1" s="1"/>
  <c r="M1842" i="1"/>
  <c r="O1841" i="1" a="1"/>
  <c r="O1841" i="1" s="1"/>
  <c r="M1841" i="1"/>
  <c r="O1840" i="1" a="1"/>
  <c r="O1840" i="1" s="1"/>
  <c r="M1840" i="1"/>
  <c r="O1839" i="1" a="1"/>
  <c r="O1839" i="1" s="1"/>
  <c r="M1839" i="1"/>
  <c r="O1838" i="1" a="1"/>
  <c r="O1838" i="1" s="1"/>
  <c r="M1838" i="1"/>
  <c r="O1837" i="1" a="1"/>
  <c r="O1837" i="1" s="1"/>
  <c r="M1837" i="1"/>
  <c r="O1836" i="1" a="1"/>
  <c r="O1836" i="1" s="1"/>
  <c r="M1836" i="1"/>
  <c r="O1835" i="1" a="1"/>
  <c r="O1835" i="1" s="1"/>
  <c r="M1835" i="1"/>
  <c r="O1834" i="1" a="1"/>
  <c r="O1834" i="1" s="1"/>
  <c r="M1834" i="1"/>
  <c r="O1833" i="1" a="1"/>
  <c r="O1833" i="1" s="1"/>
  <c r="M1833" i="1"/>
  <c r="O1832" i="1" a="1"/>
  <c r="O1832" i="1" s="1"/>
  <c r="M1832" i="1"/>
  <c r="O1831" i="1" a="1"/>
  <c r="O1831" i="1" s="1"/>
  <c r="M1831" i="1"/>
  <c r="O1830" i="1" a="1"/>
  <c r="O1830" i="1" s="1"/>
  <c r="M1830" i="1"/>
  <c r="O1829" i="1" a="1"/>
  <c r="O1829" i="1" s="1"/>
  <c r="M1829" i="1"/>
  <c r="O1828" i="1" a="1"/>
  <c r="O1828" i="1" s="1"/>
  <c r="M1828" i="1"/>
  <c r="O1827" i="1" a="1"/>
  <c r="O1827" i="1" s="1"/>
  <c r="M1827" i="1"/>
  <c r="O1826" i="1" a="1"/>
  <c r="O1826" i="1" s="1"/>
  <c r="M1826" i="1"/>
  <c r="O1825" i="1" a="1"/>
  <c r="O1825" i="1" s="1"/>
  <c r="M1825" i="1"/>
  <c r="O1824" i="1" a="1"/>
  <c r="O1824" i="1" s="1"/>
  <c r="M1824" i="1"/>
  <c r="O1823" i="1" a="1"/>
  <c r="O1823" i="1" s="1"/>
  <c r="M1823" i="1"/>
  <c r="O1822" i="1" a="1"/>
  <c r="O1822" i="1" s="1"/>
  <c r="M1822" i="1"/>
  <c r="O1821" i="1" a="1"/>
  <c r="O1821" i="1" s="1"/>
  <c r="M1821" i="1"/>
  <c r="O1820" i="1" a="1"/>
  <c r="O1820" i="1" s="1"/>
  <c r="M1820" i="1"/>
  <c r="O1819" i="1" a="1"/>
  <c r="O1819" i="1" s="1"/>
  <c r="M1819" i="1"/>
  <c r="O1818" i="1" a="1"/>
  <c r="O1818" i="1" s="1"/>
  <c r="M1818" i="1"/>
  <c r="O1817" i="1" a="1"/>
  <c r="O1817" i="1" s="1"/>
  <c r="M1817" i="1"/>
  <c r="O1816" i="1" a="1"/>
  <c r="O1816" i="1" s="1"/>
  <c r="M1816" i="1"/>
  <c r="O1815" i="1" a="1"/>
  <c r="O1815" i="1" s="1"/>
  <c r="M1815" i="1"/>
  <c r="O1814" i="1" a="1"/>
  <c r="O1814" i="1" s="1"/>
  <c r="M1814" i="1"/>
  <c r="O1813" i="1" a="1"/>
  <c r="O1813" i="1" s="1"/>
  <c r="M1813" i="1"/>
  <c r="O1812" i="1" a="1"/>
  <c r="O1812" i="1" s="1"/>
  <c r="M1812" i="1"/>
  <c r="O1811" i="1" a="1"/>
  <c r="O1811" i="1" s="1"/>
  <c r="M1811" i="1"/>
  <c r="O1810" i="1" a="1"/>
  <c r="O1810" i="1" s="1"/>
  <c r="M1810" i="1"/>
  <c r="O1809" i="1" a="1"/>
  <c r="O1809" i="1" s="1"/>
  <c r="M1809" i="1"/>
  <c r="O1808" i="1" a="1"/>
  <c r="O1808" i="1" s="1"/>
  <c r="M1808" i="1"/>
  <c r="O1807" i="1" a="1"/>
  <c r="O1807" i="1" s="1"/>
  <c r="M1807" i="1"/>
  <c r="O1806" i="1" a="1"/>
  <c r="O1806" i="1" s="1"/>
  <c r="M1806" i="1"/>
  <c r="O1805" i="1" a="1"/>
  <c r="O1805" i="1" s="1"/>
  <c r="M1805" i="1"/>
  <c r="O1804" i="1" a="1"/>
  <c r="O1804" i="1" s="1"/>
  <c r="M1804" i="1"/>
  <c r="O1803" i="1" a="1"/>
  <c r="O1803" i="1" s="1"/>
  <c r="M1803" i="1"/>
  <c r="O1802" i="1" a="1"/>
  <c r="O1802" i="1" s="1"/>
  <c r="M1802" i="1"/>
  <c r="O1801" i="1" a="1"/>
  <c r="O1801" i="1" s="1"/>
  <c r="M1801" i="1"/>
  <c r="O1800" i="1" a="1"/>
  <c r="O1800" i="1" s="1"/>
  <c r="M1800" i="1"/>
  <c r="O1799" i="1" a="1"/>
  <c r="O1799" i="1" s="1"/>
  <c r="M1799" i="1"/>
  <c r="O1798" i="1" a="1"/>
  <c r="O1798" i="1" s="1"/>
  <c r="M1798" i="1"/>
  <c r="O1797" i="1" a="1"/>
  <c r="O1797" i="1" s="1"/>
  <c r="M1797" i="1"/>
  <c r="O1796" i="1" a="1"/>
  <c r="O1796" i="1" s="1"/>
  <c r="M1796" i="1"/>
  <c r="O1795" i="1" a="1"/>
  <c r="O1795" i="1" s="1"/>
  <c r="M1795" i="1"/>
  <c r="O1794" i="1" a="1"/>
  <c r="O1794" i="1" s="1"/>
  <c r="M1794" i="1"/>
  <c r="O1793" i="1" a="1"/>
  <c r="O1793" i="1" s="1"/>
  <c r="M1793" i="1"/>
  <c r="O1792" i="1" a="1"/>
  <c r="O1792" i="1" s="1"/>
  <c r="M1792" i="1"/>
  <c r="O1791" i="1" a="1"/>
  <c r="O1791" i="1" s="1"/>
  <c r="M1791" i="1"/>
  <c r="O1790" i="1" a="1"/>
  <c r="O1790" i="1" s="1"/>
  <c r="M1790" i="1"/>
  <c r="O1789" i="1" a="1"/>
  <c r="O1789" i="1" s="1"/>
  <c r="M1789" i="1"/>
  <c r="O1788" i="1" a="1"/>
  <c r="O1788" i="1" s="1"/>
  <c r="M1788" i="1"/>
  <c r="O1787" i="1" a="1"/>
  <c r="O1787" i="1" s="1"/>
  <c r="M1787" i="1"/>
  <c r="O1786" i="1" a="1"/>
  <c r="O1786" i="1" s="1"/>
  <c r="M1786" i="1"/>
  <c r="O1785" i="1" a="1"/>
  <c r="O1785" i="1" s="1"/>
  <c r="M1785" i="1"/>
  <c r="O1784" i="1" a="1"/>
  <c r="O1784" i="1" s="1"/>
  <c r="M1784" i="1"/>
  <c r="O1783" i="1" a="1"/>
  <c r="O1783" i="1" s="1"/>
  <c r="M1783" i="1"/>
  <c r="O1782" i="1" a="1"/>
  <c r="O1782" i="1" s="1"/>
  <c r="M1782" i="1"/>
  <c r="O1781" i="1" a="1"/>
  <c r="O1781" i="1" s="1"/>
  <c r="M1781" i="1"/>
  <c r="O1780" i="1" a="1"/>
  <c r="O1780" i="1" s="1"/>
  <c r="M1780" i="1"/>
  <c r="O1779" i="1" a="1"/>
  <c r="O1779" i="1" s="1"/>
  <c r="M1779" i="1"/>
  <c r="O1778" i="1" a="1"/>
  <c r="O1778" i="1" s="1"/>
  <c r="M1778" i="1"/>
  <c r="O1777" i="1" a="1"/>
  <c r="O1777" i="1" s="1"/>
  <c r="M1777" i="1"/>
  <c r="O1776" i="1" a="1"/>
  <c r="O1776" i="1" s="1"/>
  <c r="M1776" i="1"/>
  <c r="O1775" i="1" a="1"/>
  <c r="O1775" i="1" s="1"/>
  <c r="M1775" i="1"/>
  <c r="O1774" i="1" a="1"/>
  <c r="O1774" i="1" s="1"/>
  <c r="M1774" i="1"/>
  <c r="O1773" i="1" a="1"/>
  <c r="O1773" i="1" s="1"/>
  <c r="M1773" i="1"/>
  <c r="O1772" i="1" a="1"/>
  <c r="O1772" i="1" s="1"/>
  <c r="M1772" i="1"/>
  <c r="O1771" i="1" a="1"/>
  <c r="O1771" i="1" s="1"/>
  <c r="M1771" i="1"/>
  <c r="O1770" i="1" a="1"/>
  <c r="O1770" i="1" s="1"/>
  <c r="M1770" i="1"/>
  <c r="O1769" i="1" a="1"/>
  <c r="O1769" i="1" s="1"/>
  <c r="M1769" i="1"/>
  <c r="O1768" i="1" a="1"/>
  <c r="O1768" i="1" s="1"/>
  <c r="M1768" i="1"/>
  <c r="O1767" i="1" a="1"/>
  <c r="O1767" i="1" s="1"/>
  <c r="M1767" i="1"/>
  <c r="O1766" i="1" a="1"/>
  <c r="O1766" i="1" s="1"/>
  <c r="M1766" i="1"/>
  <c r="O1765" i="1" a="1"/>
  <c r="O1765" i="1" s="1"/>
  <c r="M1765" i="1"/>
  <c r="O1764" i="1" a="1"/>
  <c r="O1764" i="1" s="1"/>
  <c r="M1764" i="1"/>
  <c r="O1763" i="1" a="1"/>
  <c r="O1763" i="1" s="1"/>
  <c r="M1763" i="1"/>
  <c r="O1762" i="1" a="1"/>
  <c r="O1762" i="1" s="1"/>
  <c r="M1762" i="1"/>
  <c r="O1761" i="1" a="1"/>
  <c r="O1761" i="1" s="1"/>
  <c r="M1761" i="1"/>
  <c r="O1760" i="1" a="1"/>
  <c r="O1760" i="1" s="1"/>
  <c r="M1760" i="1"/>
  <c r="O1759" i="1" a="1"/>
  <c r="O1759" i="1" s="1"/>
  <c r="M1759" i="1"/>
  <c r="O1758" i="1" a="1"/>
  <c r="O1758" i="1" s="1"/>
  <c r="M1758" i="1"/>
  <c r="O1757" i="1" a="1"/>
  <c r="O1757" i="1" s="1"/>
  <c r="M1757" i="1"/>
  <c r="O1756" i="1" a="1"/>
  <c r="O1756" i="1" s="1"/>
  <c r="M1756" i="1"/>
  <c r="O1755" i="1" a="1"/>
  <c r="O1755" i="1" s="1"/>
  <c r="M1755" i="1"/>
  <c r="O1754" i="1" a="1"/>
  <c r="O1754" i="1" s="1"/>
  <c r="M1754" i="1"/>
  <c r="O1753" i="1" a="1"/>
  <c r="O1753" i="1" s="1"/>
  <c r="M1753" i="1"/>
  <c r="O1752" i="1" a="1"/>
  <c r="O1752" i="1" s="1"/>
  <c r="M1752" i="1"/>
  <c r="O1751" i="1" a="1"/>
  <c r="O1751" i="1" s="1"/>
  <c r="M1751" i="1"/>
  <c r="O1750" i="1" a="1"/>
  <c r="O1750" i="1" s="1"/>
  <c r="M1750" i="1"/>
  <c r="O1749" i="1" a="1"/>
  <c r="O1749" i="1" s="1"/>
  <c r="M1749" i="1"/>
  <c r="O1748" i="1" a="1"/>
  <c r="O1748" i="1" s="1"/>
  <c r="M1748" i="1"/>
  <c r="O1747" i="1" a="1"/>
  <c r="O1747" i="1" s="1"/>
  <c r="M1747" i="1"/>
  <c r="O1746" i="1" a="1"/>
  <c r="O1746" i="1" s="1"/>
  <c r="M1746" i="1"/>
  <c r="O1745" i="1" a="1"/>
  <c r="O1745" i="1" s="1"/>
  <c r="M1745" i="1"/>
  <c r="O1744" i="1" a="1"/>
  <c r="O1744" i="1" s="1"/>
  <c r="M1744" i="1"/>
  <c r="O1743" i="1" a="1"/>
  <c r="O1743" i="1" s="1"/>
  <c r="M1743" i="1"/>
  <c r="O1742" i="1" a="1"/>
  <c r="O1742" i="1" s="1"/>
  <c r="M1742" i="1"/>
  <c r="O1741" i="1" a="1"/>
  <c r="O1741" i="1" s="1"/>
  <c r="M1741" i="1"/>
  <c r="O1740" i="1" a="1"/>
  <c r="O1740" i="1" s="1"/>
  <c r="M1740" i="1"/>
  <c r="O1739" i="1" a="1"/>
  <c r="O1739" i="1" s="1"/>
  <c r="M1739" i="1"/>
  <c r="O1738" i="1" a="1"/>
  <c r="O1738" i="1" s="1"/>
  <c r="M1738" i="1"/>
  <c r="O1737" i="1" a="1"/>
  <c r="O1737" i="1" s="1"/>
  <c r="M1737" i="1"/>
  <c r="O1736" i="1" a="1"/>
  <c r="O1736" i="1" s="1"/>
  <c r="M1736" i="1"/>
  <c r="O1735" i="1" a="1"/>
  <c r="O1735" i="1" s="1"/>
  <c r="M1735" i="1"/>
  <c r="O1734" i="1" a="1"/>
  <c r="O1734" i="1" s="1"/>
  <c r="M1734" i="1"/>
  <c r="O1733" i="1" a="1"/>
  <c r="O1733" i="1" s="1"/>
  <c r="M1733" i="1"/>
  <c r="O1732" i="1" a="1"/>
  <c r="O1732" i="1" s="1"/>
  <c r="M1732" i="1"/>
  <c r="O1731" i="1" a="1"/>
  <c r="O1731" i="1" s="1"/>
  <c r="M1731" i="1"/>
  <c r="O1730" i="1" a="1"/>
  <c r="O1730" i="1" s="1"/>
  <c r="M1730" i="1"/>
  <c r="O1729" i="1" a="1"/>
  <c r="O1729" i="1" s="1"/>
  <c r="M1729" i="1"/>
  <c r="O1728" i="1" a="1"/>
  <c r="O1728" i="1" s="1"/>
  <c r="M1728" i="1"/>
  <c r="O1727" i="1" a="1"/>
  <c r="O1727" i="1" s="1"/>
  <c r="M1727" i="1"/>
  <c r="O1726" i="1" a="1"/>
  <c r="O1726" i="1" s="1"/>
  <c r="M1726" i="1"/>
  <c r="O1725" i="1" a="1"/>
  <c r="O1725" i="1" s="1"/>
  <c r="M1725" i="1"/>
  <c r="O1724" i="1" a="1"/>
  <c r="O1724" i="1" s="1"/>
  <c r="M1724" i="1"/>
  <c r="O1723" i="1" a="1"/>
  <c r="O1723" i="1" s="1"/>
  <c r="M1723" i="1"/>
  <c r="O1722" i="1" a="1"/>
  <c r="O1722" i="1" s="1"/>
  <c r="M1722" i="1"/>
  <c r="O1721" i="1" a="1"/>
  <c r="O1721" i="1" s="1"/>
  <c r="M1721" i="1"/>
  <c r="O1720" i="1" a="1"/>
  <c r="O1720" i="1" s="1"/>
  <c r="M1720" i="1"/>
  <c r="O1719" i="1" a="1"/>
  <c r="O1719" i="1" s="1"/>
  <c r="M1719" i="1"/>
  <c r="O1718" i="1" a="1"/>
  <c r="O1718" i="1" s="1"/>
  <c r="M1718" i="1"/>
  <c r="O1717" i="1" a="1"/>
  <c r="O1717" i="1" s="1"/>
  <c r="M1717" i="1"/>
  <c r="O1716" i="1" a="1"/>
  <c r="O1716" i="1" s="1"/>
  <c r="M1716" i="1"/>
  <c r="O1715" i="1" a="1"/>
  <c r="O1715" i="1" s="1"/>
  <c r="M1715" i="1"/>
  <c r="O1714" i="1" a="1"/>
  <c r="O1714" i="1" s="1"/>
  <c r="M1714" i="1"/>
  <c r="O1713" i="1" a="1"/>
  <c r="O1713" i="1" s="1"/>
  <c r="M1713" i="1"/>
  <c r="O1712" i="1" a="1"/>
  <c r="O1712" i="1" s="1"/>
  <c r="M1712" i="1"/>
  <c r="O1711" i="1" a="1"/>
  <c r="O1711" i="1" s="1"/>
  <c r="M1711" i="1"/>
  <c r="O1710" i="1" a="1"/>
  <c r="O1710" i="1" s="1"/>
  <c r="M1710" i="1"/>
  <c r="O1709" i="1" a="1"/>
  <c r="O1709" i="1" s="1"/>
  <c r="M1709" i="1"/>
  <c r="O1708" i="1" a="1"/>
  <c r="O1708" i="1" s="1"/>
  <c r="M1708" i="1"/>
  <c r="O1707" i="1" a="1"/>
  <c r="O1707" i="1" s="1"/>
  <c r="M1707" i="1"/>
  <c r="O1706" i="1" a="1"/>
  <c r="O1706" i="1" s="1"/>
  <c r="M1706" i="1"/>
  <c r="O1705" i="1" a="1"/>
  <c r="O1705" i="1" s="1"/>
  <c r="M1705" i="1"/>
  <c r="O1704" i="1" a="1"/>
  <c r="O1704" i="1" s="1"/>
  <c r="M1704" i="1"/>
  <c r="O1703" i="1" a="1"/>
  <c r="O1703" i="1" s="1"/>
  <c r="M1703" i="1"/>
  <c r="O1702" i="1" a="1"/>
  <c r="O1702" i="1" s="1"/>
  <c r="M1702" i="1"/>
  <c r="O1701" i="1" a="1"/>
  <c r="O1701" i="1" s="1"/>
  <c r="M1701" i="1"/>
  <c r="O1700" i="1" a="1"/>
  <c r="O1700" i="1" s="1"/>
  <c r="M1700" i="1"/>
  <c r="O1699" i="1" a="1"/>
  <c r="O1699" i="1" s="1"/>
  <c r="M1699" i="1"/>
  <c r="O1698" i="1" a="1"/>
  <c r="O1698" i="1" s="1"/>
  <c r="M1698" i="1"/>
  <c r="O1697" i="1" a="1"/>
  <c r="O1697" i="1" s="1"/>
  <c r="M1697" i="1"/>
  <c r="O1696" i="1" a="1"/>
  <c r="O1696" i="1" s="1"/>
  <c r="M1696" i="1"/>
  <c r="O1695" i="1" a="1"/>
  <c r="O1695" i="1" s="1"/>
  <c r="M1695" i="1"/>
  <c r="O1694" i="1" a="1"/>
  <c r="O1694" i="1" s="1"/>
  <c r="M1694" i="1"/>
  <c r="O1693" i="1" a="1"/>
  <c r="O1693" i="1" s="1"/>
  <c r="M1693" i="1"/>
  <c r="O1692" i="1" a="1"/>
  <c r="O1692" i="1" s="1"/>
  <c r="M1692" i="1"/>
  <c r="O1691" i="1" a="1"/>
  <c r="O1691" i="1" s="1"/>
  <c r="M1691" i="1"/>
  <c r="O1690" i="1" a="1"/>
  <c r="O1690" i="1" s="1"/>
  <c r="M1690" i="1"/>
  <c r="O1689" i="1" a="1"/>
  <c r="O1689" i="1" s="1"/>
  <c r="M1689" i="1"/>
  <c r="O1688" i="1" a="1"/>
  <c r="O1688" i="1" s="1"/>
  <c r="M1688" i="1"/>
  <c r="O1687" i="1" a="1"/>
  <c r="O1687" i="1" s="1"/>
  <c r="M1687" i="1"/>
  <c r="O1686" i="1" a="1"/>
  <c r="O1686" i="1" s="1"/>
  <c r="M1686" i="1"/>
  <c r="O1685" i="1" a="1"/>
  <c r="O1685" i="1" s="1"/>
  <c r="M1685" i="1"/>
  <c r="O1684" i="1" a="1"/>
  <c r="O1684" i="1" s="1"/>
  <c r="M1684" i="1"/>
  <c r="O1683" i="1" a="1"/>
  <c r="O1683" i="1" s="1"/>
  <c r="M1683" i="1"/>
  <c r="O1682" i="1" a="1"/>
  <c r="O1682" i="1" s="1"/>
  <c r="M1682" i="1"/>
  <c r="O1681" i="1" a="1"/>
  <c r="O1681" i="1" s="1"/>
  <c r="M1681" i="1"/>
  <c r="O1680" i="1" a="1"/>
  <c r="O1680" i="1" s="1"/>
  <c r="M1680" i="1"/>
  <c r="O1679" i="1" a="1"/>
  <c r="O1679" i="1" s="1"/>
  <c r="M1679" i="1"/>
  <c r="O1678" i="1" a="1"/>
  <c r="O1678" i="1" s="1"/>
  <c r="M1678" i="1"/>
  <c r="O1677" i="1" a="1"/>
  <c r="O1677" i="1" s="1"/>
  <c r="M1677" i="1"/>
  <c r="O1676" i="1" a="1"/>
  <c r="O1676" i="1" s="1"/>
  <c r="M1676" i="1"/>
  <c r="O1675" i="1" a="1"/>
  <c r="O1675" i="1" s="1"/>
  <c r="M1675" i="1"/>
  <c r="O1674" i="1" a="1"/>
  <c r="O1674" i="1" s="1"/>
  <c r="M1674" i="1"/>
  <c r="O1673" i="1" a="1"/>
  <c r="O1673" i="1" s="1"/>
  <c r="M1673" i="1"/>
  <c r="O1672" i="1" a="1"/>
  <c r="O1672" i="1" s="1"/>
  <c r="M1672" i="1"/>
  <c r="O1671" i="1" a="1"/>
  <c r="O1671" i="1" s="1"/>
  <c r="M1671" i="1"/>
  <c r="O1670" i="1" a="1"/>
  <c r="O1670" i="1" s="1"/>
  <c r="M1670" i="1"/>
  <c r="O1669" i="1" a="1"/>
  <c r="O1669" i="1" s="1"/>
  <c r="M1669" i="1"/>
  <c r="O1668" i="1" a="1"/>
  <c r="O1668" i="1" s="1"/>
  <c r="M1668" i="1"/>
  <c r="O1667" i="1" a="1"/>
  <c r="O1667" i="1" s="1"/>
  <c r="M1667" i="1"/>
  <c r="O1666" i="1" a="1"/>
  <c r="O1666" i="1" s="1"/>
  <c r="M1666" i="1"/>
  <c r="O1665" i="1" a="1"/>
  <c r="O1665" i="1" s="1"/>
  <c r="M1665" i="1"/>
  <c r="O1664" i="1" a="1"/>
  <c r="O1664" i="1" s="1"/>
  <c r="M1664" i="1"/>
  <c r="O1663" i="1" a="1"/>
  <c r="O1663" i="1" s="1"/>
  <c r="M1663" i="1"/>
  <c r="O1662" i="1" a="1"/>
  <c r="O1662" i="1" s="1"/>
  <c r="M1662" i="1"/>
  <c r="O1661" i="1" a="1"/>
  <c r="O1661" i="1" s="1"/>
  <c r="M1661" i="1"/>
  <c r="O1660" i="1" a="1"/>
  <c r="O1660" i="1" s="1"/>
  <c r="M1660" i="1"/>
  <c r="O1659" i="1" a="1"/>
  <c r="O1659" i="1" s="1"/>
  <c r="M1659" i="1"/>
  <c r="O1658" i="1" a="1"/>
  <c r="O1658" i="1" s="1"/>
  <c r="M1658" i="1"/>
  <c r="O1657" i="1" a="1"/>
  <c r="O1657" i="1" s="1"/>
  <c r="M1657" i="1"/>
  <c r="O1656" i="1" a="1"/>
  <c r="O1656" i="1" s="1"/>
  <c r="M1656" i="1"/>
  <c r="O1655" i="1" a="1"/>
  <c r="O1655" i="1" s="1"/>
  <c r="M1655" i="1"/>
  <c r="O1654" i="1" a="1"/>
  <c r="O1654" i="1" s="1"/>
  <c r="M1654" i="1"/>
  <c r="O1653" i="1" a="1"/>
  <c r="O1653" i="1" s="1"/>
  <c r="M1653" i="1"/>
  <c r="O1652" i="1" a="1"/>
  <c r="O1652" i="1" s="1"/>
  <c r="M1652" i="1"/>
  <c r="O1651" i="1" a="1"/>
  <c r="O1651" i="1" s="1"/>
  <c r="M1651" i="1"/>
  <c r="O1650" i="1" a="1"/>
  <c r="O1650" i="1" s="1"/>
  <c r="M1650" i="1"/>
  <c r="O1649" i="1" a="1"/>
  <c r="O1649" i="1" s="1"/>
  <c r="M1649" i="1"/>
  <c r="O1648" i="1" a="1"/>
  <c r="O1648" i="1" s="1"/>
  <c r="M1648" i="1"/>
  <c r="O1647" i="1" a="1"/>
  <c r="O1647" i="1" s="1"/>
  <c r="M1647" i="1"/>
  <c r="O1646" i="1" a="1"/>
  <c r="O1646" i="1" s="1"/>
  <c r="M1646" i="1"/>
  <c r="O1645" i="1" a="1"/>
  <c r="O1645" i="1" s="1"/>
  <c r="M1645" i="1"/>
  <c r="O1644" i="1" a="1"/>
  <c r="O1644" i="1" s="1"/>
  <c r="M1644" i="1"/>
  <c r="O1643" i="1" a="1"/>
  <c r="O1643" i="1" s="1"/>
  <c r="M1643" i="1"/>
  <c r="O1642" i="1" a="1"/>
  <c r="O1642" i="1" s="1"/>
  <c r="M1642" i="1"/>
  <c r="O1641" i="1" a="1"/>
  <c r="O1641" i="1" s="1"/>
  <c r="M1641" i="1"/>
  <c r="O1640" i="1" a="1"/>
  <c r="O1640" i="1" s="1"/>
  <c r="M1640" i="1"/>
  <c r="O1639" i="1" a="1"/>
  <c r="O1639" i="1" s="1"/>
  <c r="M1639" i="1"/>
  <c r="O1638" i="1" a="1"/>
  <c r="O1638" i="1" s="1"/>
  <c r="M1638" i="1"/>
  <c r="O1637" i="1" a="1"/>
  <c r="O1637" i="1" s="1"/>
  <c r="M1637" i="1"/>
  <c r="O1636" i="1" a="1"/>
  <c r="O1636" i="1" s="1"/>
  <c r="M1636" i="1"/>
  <c r="O1635" i="1" a="1"/>
  <c r="O1635" i="1" s="1"/>
  <c r="M1635" i="1"/>
  <c r="O1634" i="1" a="1"/>
  <c r="O1634" i="1" s="1"/>
  <c r="M1634" i="1"/>
  <c r="O1633" i="1" a="1"/>
  <c r="O1633" i="1" s="1"/>
  <c r="M1633" i="1"/>
  <c r="O1632" i="1" a="1"/>
  <c r="O1632" i="1" s="1"/>
  <c r="M1632" i="1"/>
  <c r="O1631" i="1" a="1"/>
  <c r="O1631" i="1" s="1"/>
  <c r="M1631" i="1"/>
  <c r="O1630" i="1" a="1"/>
  <c r="O1630" i="1" s="1"/>
  <c r="M1630" i="1"/>
  <c r="O1629" i="1" a="1"/>
  <c r="O1629" i="1" s="1"/>
  <c r="M1629" i="1"/>
  <c r="O1628" i="1" a="1"/>
  <c r="O1628" i="1" s="1"/>
  <c r="M1628" i="1"/>
  <c r="O1627" i="1" a="1"/>
  <c r="O1627" i="1" s="1"/>
  <c r="M1627" i="1"/>
  <c r="O1626" i="1" a="1"/>
  <c r="O1626" i="1" s="1"/>
  <c r="M1626" i="1"/>
  <c r="O1625" i="1" a="1"/>
  <c r="O1625" i="1" s="1"/>
  <c r="M1625" i="1"/>
  <c r="O1624" i="1" a="1"/>
  <c r="O1624" i="1" s="1"/>
  <c r="M1624" i="1"/>
  <c r="O1623" i="1" a="1"/>
  <c r="O1623" i="1" s="1"/>
  <c r="M1623" i="1"/>
  <c r="O1622" i="1" a="1"/>
  <c r="O1622" i="1" s="1"/>
  <c r="M1622" i="1"/>
  <c r="O1621" i="1" a="1"/>
  <c r="O1621" i="1" s="1"/>
  <c r="M1621" i="1"/>
  <c r="O1620" i="1" a="1"/>
  <c r="O1620" i="1" s="1"/>
  <c r="M1620" i="1"/>
  <c r="O1619" i="1" a="1"/>
  <c r="O1619" i="1" s="1"/>
  <c r="M1619" i="1"/>
  <c r="O1618" i="1" a="1"/>
  <c r="O1618" i="1" s="1"/>
  <c r="M1618" i="1"/>
  <c r="O1617" i="1" a="1"/>
  <c r="O1617" i="1" s="1"/>
  <c r="M1617" i="1"/>
  <c r="O1616" i="1" a="1"/>
  <c r="O1616" i="1" s="1"/>
  <c r="M1616" i="1"/>
  <c r="O1615" i="1" a="1"/>
  <c r="O1615" i="1" s="1"/>
  <c r="M1615" i="1"/>
  <c r="O1614" i="1" a="1"/>
  <c r="O1614" i="1" s="1"/>
  <c r="M1614" i="1"/>
  <c r="O1613" i="1" a="1"/>
  <c r="O1613" i="1" s="1"/>
  <c r="M1613" i="1"/>
  <c r="O1612" i="1" a="1"/>
  <c r="O1612" i="1" s="1"/>
  <c r="M1612" i="1"/>
  <c r="O1611" i="1" a="1"/>
  <c r="O1611" i="1" s="1"/>
  <c r="M1611" i="1"/>
  <c r="O1610" i="1" a="1"/>
  <c r="O1610" i="1" s="1"/>
  <c r="M1610" i="1"/>
  <c r="O1609" i="1" a="1"/>
  <c r="O1609" i="1" s="1"/>
  <c r="M1609" i="1"/>
  <c r="O1608" i="1" a="1"/>
  <c r="O1608" i="1" s="1"/>
  <c r="M1608" i="1"/>
  <c r="O1607" i="1" a="1"/>
  <c r="O1607" i="1" s="1"/>
  <c r="M1607" i="1"/>
  <c r="O1606" i="1" a="1"/>
  <c r="O1606" i="1" s="1"/>
  <c r="M1606" i="1"/>
  <c r="O1605" i="1" a="1"/>
  <c r="O1605" i="1" s="1"/>
  <c r="M1605" i="1"/>
  <c r="O1604" i="1" a="1"/>
  <c r="O1604" i="1" s="1"/>
  <c r="M1604" i="1"/>
  <c r="O1603" i="1" a="1"/>
  <c r="O1603" i="1" s="1"/>
  <c r="M1603" i="1"/>
  <c r="O1602" i="1" a="1"/>
  <c r="O1602" i="1" s="1"/>
  <c r="M1602" i="1"/>
  <c r="O1601" i="1" a="1"/>
  <c r="O1601" i="1" s="1"/>
  <c r="M1601" i="1"/>
  <c r="O1600" i="1" a="1"/>
  <c r="O1600" i="1" s="1"/>
  <c r="M1600" i="1"/>
  <c r="O1599" i="1" a="1"/>
  <c r="O1599" i="1" s="1"/>
  <c r="M1599" i="1"/>
  <c r="O1598" i="1" a="1"/>
  <c r="O1598" i="1" s="1"/>
  <c r="M1598" i="1"/>
  <c r="O1597" i="1" a="1"/>
  <c r="O1597" i="1" s="1"/>
  <c r="M1597" i="1"/>
  <c r="O1596" i="1" a="1"/>
  <c r="O1596" i="1" s="1"/>
  <c r="M1596" i="1"/>
  <c r="O1595" i="1" a="1"/>
  <c r="O1595" i="1" s="1"/>
  <c r="M1595" i="1"/>
  <c r="O1594" i="1" a="1"/>
  <c r="O1594" i="1" s="1"/>
  <c r="M1594" i="1"/>
  <c r="O1593" i="1" a="1"/>
  <c r="O1593" i="1" s="1"/>
  <c r="M1593" i="1"/>
  <c r="O1592" i="1" a="1"/>
  <c r="O1592" i="1" s="1"/>
  <c r="M1592" i="1"/>
  <c r="O1591" i="1" a="1"/>
  <c r="O1591" i="1" s="1"/>
  <c r="M1591" i="1"/>
  <c r="O1590" i="1" a="1"/>
  <c r="O1590" i="1" s="1"/>
  <c r="M1590" i="1"/>
  <c r="O1589" i="1" a="1"/>
  <c r="O1589" i="1" s="1"/>
  <c r="M1589" i="1"/>
  <c r="O1588" i="1" a="1"/>
  <c r="O1588" i="1" s="1"/>
  <c r="M1588" i="1"/>
  <c r="O1587" i="1" a="1"/>
  <c r="O1587" i="1" s="1"/>
  <c r="M1587" i="1"/>
  <c r="O1586" i="1" a="1"/>
  <c r="O1586" i="1" s="1"/>
  <c r="M1586" i="1"/>
  <c r="O1585" i="1" a="1"/>
  <c r="O1585" i="1" s="1"/>
  <c r="M1585" i="1"/>
  <c r="O1584" i="1" a="1"/>
  <c r="O1584" i="1" s="1"/>
  <c r="M1584" i="1"/>
  <c r="O1583" i="1" a="1"/>
  <c r="O1583" i="1" s="1"/>
  <c r="M1583" i="1"/>
  <c r="O1582" i="1" a="1"/>
  <c r="O1582" i="1" s="1"/>
  <c r="M1582" i="1"/>
  <c r="O1581" i="1" a="1"/>
  <c r="O1581" i="1" s="1"/>
  <c r="M1581" i="1"/>
  <c r="O1580" i="1" a="1"/>
  <c r="O1580" i="1" s="1"/>
  <c r="M1580" i="1"/>
  <c r="O1579" i="1" a="1"/>
  <c r="O1579" i="1" s="1"/>
  <c r="M1579" i="1"/>
  <c r="O1578" i="1" a="1"/>
  <c r="O1578" i="1" s="1"/>
  <c r="M1578" i="1"/>
  <c r="O1577" i="1" a="1"/>
  <c r="O1577" i="1" s="1"/>
  <c r="M1577" i="1"/>
  <c r="O1576" i="1" a="1"/>
  <c r="O1576" i="1" s="1"/>
  <c r="M1576" i="1"/>
  <c r="O1575" i="1" a="1"/>
  <c r="O1575" i="1" s="1"/>
  <c r="M1575" i="1"/>
  <c r="O1574" i="1" a="1"/>
  <c r="O1574" i="1" s="1"/>
  <c r="M1574" i="1"/>
  <c r="O1573" i="1" a="1"/>
  <c r="O1573" i="1" s="1"/>
  <c r="M1573" i="1"/>
  <c r="O1572" i="1" a="1"/>
  <c r="O1572" i="1" s="1"/>
  <c r="M1572" i="1"/>
  <c r="O1571" i="1" a="1"/>
  <c r="O1571" i="1" s="1"/>
  <c r="M1571" i="1"/>
  <c r="O1570" i="1" a="1"/>
  <c r="O1570" i="1" s="1"/>
  <c r="M1570" i="1"/>
  <c r="O1569" i="1" a="1"/>
  <c r="O1569" i="1" s="1"/>
  <c r="M1569" i="1"/>
  <c r="O1568" i="1" a="1"/>
  <c r="O1568" i="1" s="1"/>
  <c r="M1568" i="1"/>
  <c r="O1567" i="1" a="1"/>
  <c r="O1567" i="1" s="1"/>
  <c r="M1567" i="1"/>
  <c r="O1566" i="1" a="1"/>
  <c r="O1566" i="1" s="1"/>
  <c r="M1566" i="1"/>
  <c r="O1565" i="1" a="1"/>
  <c r="O1565" i="1" s="1"/>
  <c r="M1565" i="1"/>
  <c r="O1564" i="1" a="1"/>
  <c r="O1564" i="1" s="1"/>
  <c r="M1564" i="1"/>
  <c r="O1563" i="1" a="1"/>
  <c r="O1563" i="1" s="1"/>
  <c r="M1563" i="1"/>
  <c r="O1562" i="1" a="1"/>
  <c r="O1562" i="1" s="1"/>
  <c r="M1562" i="1"/>
  <c r="O1561" i="1" a="1"/>
  <c r="O1561" i="1" s="1"/>
  <c r="M1561" i="1"/>
  <c r="O1560" i="1" a="1"/>
  <c r="O1560" i="1" s="1"/>
  <c r="M1560" i="1"/>
  <c r="O1559" i="1" a="1"/>
  <c r="O1559" i="1" s="1"/>
  <c r="M1559" i="1"/>
  <c r="O1558" i="1" a="1"/>
  <c r="O1558" i="1" s="1"/>
  <c r="M1558" i="1"/>
  <c r="O1557" i="1" a="1"/>
  <c r="O1557" i="1" s="1"/>
  <c r="M1557" i="1"/>
  <c r="O1556" i="1" a="1"/>
  <c r="O1556" i="1" s="1"/>
  <c r="M1556" i="1"/>
  <c r="O1555" i="1" a="1"/>
  <c r="O1555" i="1" s="1"/>
  <c r="M1555" i="1"/>
  <c r="O1554" i="1" a="1"/>
  <c r="O1554" i="1" s="1"/>
  <c r="M1554" i="1"/>
  <c r="O1553" i="1" a="1"/>
  <c r="O1553" i="1" s="1"/>
  <c r="M1553" i="1"/>
  <c r="O1552" i="1" a="1"/>
  <c r="O1552" i="1" s="1"/>
  <c r="M1552" i="1"/>
  <c r="O1551" i="1" a="1"/>
  <c r="O1551" i="1" s="1"/>
  <c r="M1551" i="1"/>
  <c r="O1550" i="1" a="1"/>
  <c r="O1550" i="1" s="1"/>
  <c r="M1550" i="1"/>
  <c r="O1549" i="1" a="1"/>
  <c r="O1549" i="1" s="1"/>
  <c r="M1549" i="1"/>
  <c r="O1548" i="1" a="1"/>
  <c r="O1548" i="1" s="1"/>
  <c r="M1548" i="1"/>
  <c r="O1547" i="1" a="1"/>
  <c r="O1547" i="1" s="1"/>
  <c r="M1547" i="1"/>
  <c r="O1546" i="1" a="1"/>
  <c r="O1546" i="1" s="1"/>
  <c r="M1546" i="1"/>
  <c r="O1545" i="1" a="1"/>
  <c r="O1545" i="1" s="1"/>
  <c r="M1545" i="1"/>
  <c r="O1544" i="1" a="1"/>
  <c r="O1544" i="1" s="1"/>
  <c r="M1544" i="1"/>
  <c r="O1543" i="1" a="1"/>
  <c r="O1543" i="1" s="1"/>
  <c r="M1543" i="1"/>
  <c r="O1542" i="1" a="1"/>
  <c r="O1542" i="1" s="1"/>
  <c r="M1542" i="1"/>
  <c r="O1541" i="1" a="1"/>
  <c r="O1541" i="1" s="1"/>
  <c r="M1541" i="1"/>
  <c r="O1540" i="1" a="1"/>
  <c r="O1540" i="1" s="1"/>
  <c r="M1540" i="1"/>
  <c r="O1539" i="1" a="1"/>
  <c r="O1539" i="1" s="1"/>
  <c r="M1539" i="1"/>
  <c r="O1538" i="1" a="1"/>
  <c r="O1538" i="1" s="1"/>
  <c r="M1538" i="1"/>
  <c r="O1537" i="1" a="1"/>
  <c r="O1537" i="1" s="1"/>
  <c r="M1537" i="1"/>
  <c r="O1536" i="1" a="1"/>
  <c r="O1536" i="1" s="1"/>
  <c r="M1536" i="1"/>
  <c r="O1535" i="1" a="1"/>
  <c r="O1535" i="1" s="1"/>
  <c r="M1535" i="1"/>
  <c r="O1534" i="1" a="1"/>
  <c r="O1534" i="1" s="1"/>
  <c r="M1534" i="1"/>
  <c r="O1533" i="1" a="1"/>
  <c r="O1533" i="1" s="1"/>
  <c r="M1533" i="1"/>
  <c r="O1532" i="1" a="1"/>
  <c r="O1532" i="1" s="1"/>
  <c r="M1532" i="1"/>
  <c r="O1531" i="1" a="1"/>
  <c r="O1531" i="1" s="1"/>
  <c r="M1531" i="1"/>
  <c r="O1530" i="1" a="1"/>
  <c r="O1530" i="1" s="1"/>
  <c r="M1530" i="1"/>
  <c r="O1529" i="1" a="1"/>
  <c r="O1529" i="1" s="1"/>
  <c r="M1529" i="1"/>
  <c r="O1528" i="1" a="1"/>
  <c r="O1528" i="1" s="1"/>
  <c r="M1528" i="1"/>
  <c r="O1527" i="1" a="1"/>
  <c r="O1527" i="1" s="1"/>
  <c r="M1527" i="1"/>
  <c r="O1526" i="1" a="1"/>
  <c r="O1526" i="1" s="1"/>
  <c r="M1526" i="1"/>
  <c r="O1525" i="1" a="1"/>
  <c r="O1525" i="1" s="1"/>
  <c r="M1525" i="1"/>
  <c r="O1524" i="1" a="1"/>
  <c r="O1524" i="1" s="1"/>
  <c r="M1524" i="1"/>
  <c r="O1523" i="1" a="1"/>
  <c r="O1523" i="1" s="1"/>
  <c r="M1523" i="1"/>
  <c r="O1522" i="1" a="1"/>
  <c r="O1522" i="1" s="1"/>
  <c r="M1522" i="1"/>
  <c r="O1521" i="1" a="1"/>
  <c r="O1521" i="1" s="1"/>
  <c r="M1521" i="1"/>
  <c r="O1520" i="1" a="1"/>
  <c r="O1520" i="1" s="1"/>
  <c r="M1520" i="1"/>
  <c r="O1519" i="1" a="1"/>
  <c r="O1519" i="1" s="1"/>
  <c r="M1519" i="1"/>
  <c r="O1518" i="1" a="1"/>
  <c r="O1518" i="1" s="1"/>
  <c r="M1518" i="1"/>
  <c r="O1517" i="1" a="1"/>
  <c r="O1517" i="1" s="1"/>
  <c r="M1517" i="1"/>
  <c r="O1516" i="1" a="1"/>
  <c r="O1516" i="1" s="1"/>
  <c r="M1516" i="1"/>
  <c r="O1515" i="1" a="1"/>
  <c r="O1515" i="1" s="1"/>
  <c r="M1515" i="1"/>
  <c r="O1514" i="1" a="1"/>
  <c r="O1514" i="1" s="1"/>
  <c r="M1514" i="1"/>
  <c r="O1513" i="1" a="1"/>
  <c r="O1513" i="1" s="1"/>
  <c r="M1513" i="1"/>
  <c r="O1512" i="1" a="1"/>
  <c r="O1512" i="1" s="1"/>
  <c r="M1512" i="1"/>
  <c r="O1511" i="1" a="1"/>
  <c r="O1511" i="1" s="1"/>
  <c r="M1511" i="1"/>
  <c r="O1510" i="1" a="1"/>
  <c r="O1510" i="1" s="1"/>
  <c r="M1510" i="1"/>
  <c r="O1509" i="1" a="1"/>
  <c r="O1509" i="1" s="1"/>
  <c r="M1509" i="1"/>
  <c r="O1508" i="1" a="1"/>
  <c r="O1508" i="1" s="1"/>
  <c r="M1508" i="1"/>
  <c r="O1507" i="1" a="1"/>
  <c r="O1507" i="1" s="1"/>
  <c r="M1507" i="1"/>
  <c r="O1506" i="1" a="1"/>
  <c r="O1506" i="1" s="1"/>
  <c r="M1506" i="1"/>
  <c r="O1505" i="1" a="1"/>
  <c r="O1505" i="1" s="1"/>
  <c r="M1505" i="1"/>
  <c r="O1504" i="1" a="1"/>
  <c r="O1504" i="1" s="1"/>
  <c r="M1504" i="1"/>
  <c r="O1503" i="1" a="1"/>
  <c r="O1503" i="1" s="1"/>
  <c r="M1503" i="1"/>
  <c r="O1502" i="1" a="1"/>
  <c r="O1502" i="1" s="1"/>
  <c r="M1502" i="1"/>
  <c r="O1501" i="1" a="1"/>
  <c r="O1501" i="1" s="1"/>
  <c r="M1501" i="1"/>
  <c r="O1500" i="1" a="1"/>
  <c r="O1500" i="1" s="1"/>
  <c r="M1500" i="1"/>
  <c r="O1499" i="1" a="1"/>
  <c r="O1499" i="1" s="1"/>
  <c r="M1499" i="1"/>
  <c r="O1498" i="1" a="1"/>
  <c r="O1498" i="1" s="1"/>
  <c r="M1498" i="1"/>
  <c r="O1497" i="1" a="1"/>
  <c r="O1497" i="1" s="1"/>
  <c r="M1497" i="1"/>
  <c r="O1496" i="1" a="1"/>
  <c r="O1496" i="1" s="1"/>
  <c r="M1496" i="1"/>
  <c r="O1495" i="1" a="1"/>
  <c r="O1495" i="1" s="1"/>
  <c r="M1495" i="1"/>
  <c r="O1494" i="1" a="1"/>
  <c r="O1494" i="1" s="1"/>
  <c r="M1494" i="1"/>
  <c r="O1493" i="1" a="1"/>
  <c r="O1493" i="1" s="1"/>
  <c r="M1493" i="1"/>
  <c r="O1492" i="1" a="1"/>
  <c r="O1492" i="1" s="1"/>
  <c r="M1492" i="1"/>
  <c r="O1491" i="1" a="1"/>
  <c r="O1491" i="1" s="1"/>
  <c r="M1491" i="1"/>
  <c r="O1490" i="1" a="1"/>
  <c r="O1490" i="1" s="1"/>
  <c r="M1490" i="1"/>
  <c r="O1489" i="1" a="1"/>
  <c r="O1489" i="1" s="1"/>
  <c r="M1489" i="1"/>
  <c r="O1488" i="1" a="1"/>
  <c r="O1488" i="1" s="1"/>
  <c r="M1488" i="1"/>
  <c r="O1487" i="1" a="1"/>
  <c r="O1487" i="1" s="1"/>
  <c r="M1487" i="1"/>
  <c r="O1486" i="1" a="1"/>
  <c r="O1486" i="1" s="1"/>
  <c r="M1486" i="1"/>
  <c r="O1485" i="1" a="1"/>
  <c r="O1485" i="1" s="1"/>
  <c r="M1485" i="1"/>
  <c r="O1484" i="1" a="1"/>
  <c r="O1484" i="1" s="1"/>
  <c r="M1484" i="1"/>
  <c r="O1483" i="1" a="1"/>
  <c r="O1483" i="1" s="1"/>
  <c r="M1483" i="1"/>
  <c r="O1482" i="1" a="1"/>
  <c r="O1482" i="1" s="1"/>
  <c r="M1482" i="1"/>
  <c r="O1481" i="1" a="1"/>
  <c r="O1481" i="1" s="1"/>
  <c r="M1481" i="1"/>
  <c r="O1480" i="1" a="1"/>
  <c r="O1480" i="1" s="1"/>
  <c r="M1480" i="1"/>
  <c r="O1479" i="1" a="1"/>
  <c r="O1479" i="1" s="1"/>
  <c r="M1479" i="1"/>
  <c r="O1478" i="1" a="1"/>
  <c r="O1478" i="1" s="1"/>
  <c r="M1478" i="1"/>
  <c r="O1477" i="1" a="1"/>
  <c r="O1477" i="1" s="1"/>
  <c r="M1477" i="1"/>
  <c r="O1476" i="1" a="1"/>
  <c r="O1476" i="1" s="1"/>
  <c r="M1476" i="1"/>
  <c r="O1475" i="1" a="1"/>
  <c r="O1475" i="1" s="1"/>
  <c r="M1475" i="1"/>
  <c r="O1474" i="1" a="1"/>
  <c r="O1474" i="1" s="1"/>
  <c r="M1474" i="1"/>
  <c r="O1473" i="1" a="1"/>
  <c r="O1473" i="1" s="1"/>
  <c r="M1473" i="1"/>
  <c r="O1472" i="1" a="1"/>
  <c r="O1472" i="1" s="1"/>
  <c r="M1472" i="1"/>
  <c r="O1471" i="1" a="1"/>
  <c r="O1471" i="1" s="1"/>
  <c r="M1471" i="1"/>
  <c r="O1470" i="1" a="1"/>
  <c r="O1470" i="1" s="1"/>
  <c r="M1470" i="1"/>
  <c r="O1469" i="1" a="1"/>
  <c r="O1469" i="1" s="1"/>
  <c r="M1469" i="1"/>
  <c r="O1468" i="1" a="1"/>
  <c r="O1468" i="1" s="1"/>
  <c r="M1468" i="1"/>
  <c r="O1467" i="1" a="1"/>
  <c r="O1467" i="1" s="1"/>
  <c r="M1467" i="1"/>
  <c r="O1466" i="1" a="1"/>
  <c r="O1466" i="1" s="1"/>
  <c r="M1466" i="1"/>
  <c r="O1465" i="1" a="1"/>
  <c r="O1465" i="1" s="1"/>
  <c r="M1465" i="1"/>
  <c r="O1464" i="1" a="1"/>
  <c r="O1464" i="1" s="1"/>
  <c r="M1464" i="1"/>
  <c r="O1463" i="1" a="1"/>
  <c r="O1463" i="1" s="1"/>
  <c r="M1463" i="1"/>
  <c r="O1462" i="1" a="1"/>
  <c r="O1462" i="1" s="1"/>
  <c r="M1462" i="1"/>
  <c r="O1461" i="1" a="1"/>
  <c r="O1461" i="1" s="1"/>
  <c r="M1461" i="1"/>
  <c r="O1460" i="1" a="1"/>
  <c r="O1460" i="1" s="1"/>
  <c r="M1460" i="1"/>
  <c r="O1459" i="1" a="1"/>
  <c r="O1459" i="1" s="1"/>
  <c r="M1459" i="1"/>
  <c r="O1458" i="1" a="1"/>
  <c r="O1458" i="1" s="1"/>
  <c r="M1458" i="1"/>
  <c r="O1457" i="1" a="1"/>
  <c r="O1457" i="1" s="1"/>
  <c r="M1457" i="1"/>
  <c r="O1456" i="1" a="1"/>
  <c r="O1456" i="1" s="1"/>
  <c r="M1456" i="1"/>
  <c r="O1455" i="1" a="1"/>
  <c r="O1455" i="1" s="1"/>
  <c r="M1455" i="1"/>
  <c r="O1454" i="1" a="1"/>
  <c r="O1454" i="1" s="1"/>
  <c r="M1454" i="1"/>
  <c r="O1453" i="1" a="1"/>
  <c r="O1453" i="1" s="1"/>
  <c r="M1453" i="1"/>
  <c r="O1452" i="1" a="1"/>
  <c r="O1452" i="1" s="1"/>
  <c r="M1452" i="1"/>
  <c r="O1451" i="1" a="1"/>
  <c r="O1451" i="1" s="1"/>
  <c r="M1451" i="1"/>
  <c r="O1450" i="1" a="1"/>
  <c r="O1450" i="1" s="1"/>
  <c r="M1450" i="1"/>
  <c r="O1449" i="1" a="1"/>
  <c r="O1449" i="1" s="1"/>
  <c r="M1449" i="1"/>
  <c r="O1448" i="1" a="1"/>
  <c r="O1448" i="1" s="1"/>
  <c r="M1448" i="1"/>
  <c r="O1447" i="1" a="1"/>
  <c r="O1447" i="1" s="1"/>
  <c r="M1447" i="1"/>
  <c r="O1446" i="1" a="1"/>
  <c r="O1446" i="1" s="1"/>
  <c r="M1446" i="1"/>
  <c r="O1445" i="1" a="1"/>
  <c r="O1445" i="1" s="1"/>
  <c r="M1445" i="1"/>
  <c r="O1444" i="1" a="1"/>
  <c r="O1444" i="1" s="1"/>
  <c r="M1444" i="1"/>
  <c r="O1443" i="1" a="1"/>
  <c r="O1443" i="1" s="1"/>
  <c r="M1443" i="1"/>
  <c r="O1442" i="1" a="1"/>
  <c r="O1442" i="1" s="1"/>
  <c r="M1442" i="1"/>
  <c r="O1441" i="1" a="1"/>
  <c r="O1441" i="1" s="1"/>
  <c r="M1441" i="1"/>
  <c r="O1440" i="1" a="1"/>
  <c r="O1440" i="1" s="1"/>
  <c r="M1440" i="1"/>
  <c r="O1439" i="1" a="1"/>
  <c r="O1439" i="1" s="1"/>
  <c r="M1439" i="1"/>
  <c r="O1438" i="1" a="1"/>
  <c r="O1438" i="1" s="1"/>
  <c r="M1438" i="1"/>
  <c r="O1437" i="1" a="1"/>
  <c r="O1437" i="1" s="1"/>
  <c r="M1437" i="1"/>
  <c r="O1436" i="1" a="1"/>
  <c r="O1436" i="1" s="1"/>
  <c r="M1436" i="1"/>
  <c r="O1435" i="1" a="1"/>
  <c r="O1435" i="1" s="1"/>
  <c r="M1435" i="1"/>
  <c r="O1434" i="1" a="1"/>
  <c r="O1434" i="1" s="1"/>
  <c r="M1434" i="1"/>
  <c r="O1433" i="1" a="1"/>
  <c r="O1433" i="1" s="1"/>
  <c r="M1433" i="1"/>
  <c r="O1432" i="1" a="1"/>
  <c r="O1432" i="1" s="1"/>
  <c r="M1432" i="1"/>
  <c r="O1431" i="1" a="1"/>
  <c r="O1431" i="1" s="1"/>
  <c r="M1431" i="1"/>
  <c r="O1430" i="1" a="1"/>
  <c r="O1430" i="1" s="1"/>
  <c r="M1430" i="1"/>
  <c r="O1429" i="1" a="1"/>
  <c r="O1429" i="1" s="1"/>
  <c r="M1429" i="1"/>
  <c r="O1428" i="1" a="1"/>
  <c r="O1428" i="1" s="1"/>
  <c r="M1428" i="1"/>
  <c r="O1427" i="1" a="1"/>
  <c r="O1427" i="1" s="1"/>
  <c r="M1427" i="1"/>
  <c r="O1426" i="1" a="1"/>
  <c r="O1426" i="1" s="1"/>
  <c r="M1426" i="1"/>
  <c r="O1425" i="1" a="1"/>
  <c r="O1425" i="1" s="1"/>
  <c r="M1425" i="1"/>
  <c r="O1424" i="1" a="1"/>
  <c r="O1424" i="1" s="1"/>
  <c r="M1424" i="1"/>
  <c r="O1423" i="1" a="1"/>
  <c r="O1423" i="1" s="1"/>
  <c r="M1423" i="1"/>
  <c r="O1422" i="1" a="1"/>
  <c r="O1422" i="1" s="1"/>
  <c r="M1422" i="1"/>
  <c r="O1421" i="1" a="1"/>
  <c r="O1421" i="1" s="1"/>
  <c r="M1421" i="1"/>
  <c r="O1420" i="1" a="1"/>
  <c r="O1420" i="1" s="1"/>
  <c r="M1420" i="1"/>
  <c r="O1419" i="1" a="1"/>
  <c r="O1419" i="1" s="1"/>
  <c r="M1419" i="1"/>
  <c r="O1418" i="1" a="1"/>
  <c r="O1418" i="1" s="1"/>
  <c r="M1418" i="1"/>
  <c r="O1417" i="1" a="1"/>
  <c r="O1417" i="1" s="1"/>
  <c r="M1417" i="1"/>
  <c r="O1416" i="1" a="1"/>
  <c r="O1416" i="1" s="1"/>
  <c r="M1416" i="1"/>
  <c r="O1415" i="1" a="1"/>
  <c r="O1415" i="1" s="1"/>
  <c r="M1415" i="1"/>
  <c r="O1414" i="1" a="1"/>
  <c r="O1414" i="1" s="1"/>
  <c r="M1414" i="1"/>
  <c r="O1413" i="1" a="1"/>
  <c r="O1413" i="1" s="1"/>
  <c r="M1413" i="1"/>
  <c r="O1412" i="1" a="1"/>
  <c r="O1412" i="1" s="1"/>
  <c r="M1412" i="1"/>
  <c r="O1411" i="1" a="1"/>
  <c r="O1411" i="1" s="1"/>
  <c r="M1411" i="1"/>
  <c r="O1410" i="1" a="1"/>
  <c r="O1410" i="1" s="1"/>
  <c r="M1410" i="1"/>
  <c r="O1409" i="1" a="1"/>
  <c r="O1409" i="1" s="1"/>
  <c r="M1409" i="1"/>
  <c r="O1408" i="1" a="1"/>
  <c r="O1408" i="1" s="1"/>
  <c r="M1408" i="1"/>
  <c r="O1407" i="1" a="1"/>
  <c r="O1407" i="1" s="1"/>
  <c r="M1407" i="1"/>
  <c r="O1406" i="1" a="1"/>
  <c r="O1406" i="1" s="1"/>
  <c r="M1406" i="1"/>
  <c r="O1405" i="1" a="1"/>
  <c r="O1405" i="1" s="1"/>
  <c r="M1405" i="1"/>
  <c r="O1404" i="1" a="1"/>
  <c r="O1404" i="1" s="1"/>
  <c r="M1404" i="1"/>
  <c r="O1403" i="1" a="1"/>
  <c r="O1403" i="1" s="1"/>
  <c r="M1403" i="1"/>
  <c r="O1402" i="1" a="1"/>
  <c r="O1402" i="1" s="1"/>
  <c r="M1402" i="1"/>
  <c r="O1401" i="1" a="1"/>
  <c r="O1401" i="1" s="1"/>
  <c r="M1401" i="1"/>
  <c r="O1400" i="1" a="1"/>
  <c r="O1400" i="1" s="1"/>
  <c r="M1400" i="1"/>
  <c r="O1399" i="1" a="1"/>
  <c r="O1399" i="1" s="1"/>
  <c r="M1399" i="1"/>
  <c r="O1398" i="1" a="1"/>
  <c r="O1398" i="1" s="1"/>
  <c r="M1398" i="1"/>
  <c r="O1397" i="1" a="1"/>
  <c r="O1397" i="1" s="1"/>
  <c r="M1397" i="1"/>
  <c r="O1396" i="1" a="1"/>
  <c r="O1396" i="1" s="1"/>
  <c r="M1396" i="1"/>
  <c r="O1395" i="1" a="1"/>
  <c r="O1395" i="1" s="1"/>
  <c r="M1395" i="1"/>
  <c r="O1394" i="1" a="1"/>
  <c r="O1394" i="1" s="1"/>
  <c r="M1394" i="1"/>
  <c r="O1393" i="1" a="1"/>
  <c r="O1393" i="1" s="1"/>
  <c r="M1393" i="1"/>
  <c r="O1392" i="1" a="1"/>
  <c r="O1392" i="1" s="1"/>
  <c r="M1392" i="1"/>
  <c r="O1391" i="1" a="1"/>
  <c r="O1391" i="1" s="1"/>
  <c r="M1391" i="1"/>
  <c r="O1390" i="1" a="1"/>
  <c r="O1390" i="1" s="1"/>
  <c r="M1390" i="1"/>
  <c r="O1389" i="1" a="1"/>
  <c r="O1389" i="1" s="1"/>
  <c r="M1389" i="1"/>
  <c r="O1388" i="1" a="1"/>
  <c r="O1388" i="1" s="1"/>
  <c r="M1388" i="1"/>
  <c r="O1387" i="1" a="1"/>
  <c r="O1387" i="1" s="1"/>
  <c r="M1387" i="1"/>
  <c r="O1386" i="1" a="1"/>
  <c r="O1386" i="1" s="1"/>
  <c r="M1386" i="1"/>
  <c r="O1385" i="1" a="1"/>
  <c r="O1385" i="1" s="1"/>
  <c r="M1385" i="1"/>
  <c r="O1384" i="1" a="1"/>
  <c r="O1384" i="1" s="1"/>
  <c r="M1384" i="1"/>
  <c r="O1383" i="1" a="1"/>
  <c r="O1383" i="1" s="1"/>
  <c r="M1383" i="1"/>
  <c r="O1382" i="1" a="1"/>
  <c r="O1382" i="1" s="1"/>
  <c r="M1382" i="1"/>
  <c r="O1381" i="1" a="1"/>
  <c r="O1381" i="1" s="1"/>
  <c r="M1381" i="1"/>
  <c r="O1380" i="1" a="1"/>
  <c r="O1380" i="1" s="1"/>
  <c r="M1380" i="1"/>
  <c r="O1379" i="1" a="1"/>
  <c r="O1379" i="1" s="1"/>
  <c r="M1379" i="1"/>
  <c r="O1378" i="1" a="1"/>
  <c r="O1378" i="1" s="1"/>
  <c r="M1378" i="1"/>
  <c r="O1377" i="1" a="1"/>
  <c r="O1377" i="1" s="1"/>
  <c r="M1377" i="1"/>
  <c r="O1376" i="1" a="1"/>
  <c r="O1376" i="1" s="1"/>
  <c r="M1376" i="1"/>
  <c r="O1375" i="1" a="1"/>
  <c r="O1375" i="1" s="1"/>
  <c r="M1375" i="1"/>
  <c r="O1374" i="1" a="1"/>
  <c r="O1374" i="1" s="1"/>
  <c r="M1374" i="1"/>
  <c r="O1373" i="1" a="1"/>
  <c r="O1373" i="1" s="1"/>
  <c r="M1373" i="1"/>
  <c r="O1372" i="1" a="1"/>
  <c r="O1372" i="1" s="1"/>
  <c r="M1372" i="1"/>
  <c r="O1371" i="1" a="1"/>
  <c r="O1371" i="1" s="1"/>
  <c r="M1371" i="1"/>
  <c r="O1370" i="1" a="1"/>
  <c r="O1370" i="1" s="1"/>
  <c r="M1370" i="1"/>
  <c r="O1369" i="1" a="1"/>
  <c r="O1369" i="1" s="1"/>
  <c r="M1369" i="1"/>
  <c r="O1368" i="1" a="1"/>
  <c r="O1368" i="1" s="1"/>
  <c r="M1368" i="1"/>
  <c r="O1367" i="1" a="1"/>
  <c r="O1367" i="1" s="1"/>
  <c r="M1367" i="1"/>
  <c r="O1366" i="1" a="1"/>
  <c r="O1366" i="1" s="1"/>
  <c r="M1366" i="1"/>
  <c r="O1365" i="1" a="1"/>
  <c r="O1365" i="1" s="1"/>
  <c r="M1365" i="1"/>
  <c r="O1364" i="1" a="1"/>
  <c r="O1364" i="1" s="1"/>
  <c r="M1364" i="1"/>
  <c r="O1363" i="1" a="1"/>
  <c r="O1363" i="1" s="1"/>
  <c r="M1363" i="1"/>
  <c r="O1362" i="1" a="1"/>
  <c r="O1362" i="1" s="1"/>
  <c r="M1362" i="1"/>
  <c r="O1361" i="1" a="1"/>
  <c r="O1361" i="1" s="1"/>
  <c r="M1361" i="1"/>
  <c r="O1360" i="1" a="1"/>
  <c r="O1360" i="1" s="1"/>
  <c r="M1360" i="1"/>
  <c r="O1359" i="1" a="1"/>
  <c r="O1359" i="1" s="1"/>
  <c r="M1359" i="1"/>
  <c r="O1358" i="1" a="1"/>
  <c r="O1358" i="1" s="1"/>
  <c r="M1358" i="1"/>
  <c r="O1357" i="1" a="1"/>
  <c r="O1357" i="1" s="1"/>
  <c r="M1357" i="1"/>
  <c r="O1356" i="1" a="1"/>
  <c r="O1356" i="1" s="1"/>
  <c r="M1356" i="1"/>
  <c r="O1355" i="1" a="1"/>
  <c r="O1355" i="1" s="1"/>
  <c r="M1355" i="1"/>
  <c r="O1354" i="1" a="1"/>
  <c r="O1354" i="1" s="1"/>
  <c r="M1354" i="1"/>
  <c r="O1353" i="1" a="1"/>
  <c r="O1353" i="1" s="1"/>
  <c r="M1353" i="1"/>
  <c r="O1352" i="1" a="1"/>
  <c r="O1352" i="1" s="1"/>
  <c r="M1352" i="1"/>
  <c r="O1351" i="1" a="1"/>
  <c r="O1351" i="1" s="1"/>
  <c r="M1351" i="1"/>
  <c r="O1350" i="1" a="1"/>
  <c r="O1350" i="1" s="1"/>
  <c r="M1350" i="1"/>
  <c r="O1349" i="1" a="1"/>
  <c r="O1349" i="1" s="1"/>
  <c r="M1349" i="1"/>
  <c r="O1348" i="1" a="1"/>
  <c r="O1348" i="1" s="1"/>
  <c r="M1348" i="1"/>
  <c r="O1347" i="1" a="1"/>
  <c r="O1347" i="1" s="1"/>
  <c r="M1347" i="1"/>
  <c r="O1346" i="1" a="1"/>
  <c r="O1346" i="1" s="1"/>
  <c r="M1346" i="1"/>
  <c r="O1345" i="1" a="1"/>
  <c r="O1345" i="1" s="1"/>
  <c r="M1345" i="1"/>
  <c r="O1344" i="1" a="1"/>
  <c r="O1344" i="1" s="1"/>
  <c r="M1344" i="1"/>
  <c r="O1343" i="1" a="1"/>
  <c r="O1343" i="1" s="1"/>
  <c r="M1343" i="1"/>
  <c r="O1342" i="1" a="1"/>
  <c r="O1342" i="1" s="1"/>
  <c r="M1342" i="1"/>
  <c r="O1341" i="1" a="1"/>
  <c r="O1341" i="1" s="1"/>
  <c r="M1341" i="1"/>
  <c r="O1340" i="1" a="1"/>
  <c r="O1340" i="1" s="1"/>
  <c r="M1340" i="1"/>
  <c r="O1339" i="1" a="1"/>
  <c r="O1339" i="1" s="1"/>
  <c r="M1339" i="1"/>
  <c r="O1338" i="1" a="1"/>
  <c r="O1338" i="1" s="1"/>
  <c r="M1338" i="1"/>
  <c r="O1337" i="1" a="1"/>
  <c r="O1337" i="1" s="1"/>
  <c r="M1337" i="1"/>
  <c r="O1336" i="1" a="1"/>
  <c r="O1336" i="1" s="1"/>
  <c r="M1336" i="1"/>
  <c r="O1335" i="1" a="1"/>
  <c r="O1335" i="1" s="1"/>
  <c r="M1335" i="1"/>
  <c r="O1334" i="1" a="1"/>
  <c r="O1334" i="1" s="1"/>
  <c r="M1334" i="1"/>
  <c r="O1333" i="1" a="1"/>
  <c r="O1333" i="1" s="1"/>
  <c r="M1333" i="1"/>
  <c r="O1332" i="1" a="1"/>
  <c r="O1332" i="1" s="1"/>
  <c r="M1332" i="1"/>
  <c r="O1331" i="1" a="1"/>
  <c r="O1331" i="1" s="1"/>
  <c r="M1331" i="1"/>
  <c r="O1330" i="1" a="1"/>
  <c r="O1330" i="1" s="1"/>
  <c r="M1330" i="1"/>
  <c r="O1329" i="1" a="1"/>
  <c r="O1329" i="1" s="1"/>
  <c r="M1329" i="1"/>
  <c r="O1328" i="1" a="1"/>
  <c r="O1328" i="1" s="1"/>
  <c r="M1328" i="1"/>
  <c r="O1327" i="1" a="1"/>
  <c r="O1327" i="1" s="1"/>
  <c r="M1327" i="1"/>
  <c r="O1326" i="1" a="1"/>
  <c r="O1326" i="1" s="1"/>
  <c r="M1326" i="1"/>
  <c r="O1325" i="1" a="1"/>
  <c r="O1325" i="1" s="1"/>
  <c r="M1325" i="1"/>
  <c r="O1324" i="1" a="1"/>
  <c r="O1324" i="1" s="1"/>
  <c r="M1324" i="1"/>
  <c r="O1323" i="1" a="1"/>
  <c r="O1323" i="1" s="1"/>
  <c r="M1323" i="1"/>
  <c r="O1322" i="1" a="1"/>
  <c r="O1322" i="1" s="1"/>
  <c r="M1322" i="1"/>
  <c r="O1321" i="1" a="1"/>
  <c r="O1321" i="1" s="1"/>
  <c r="M1321" i="1"/>
  <c r="O1320" i="1" a="1"/>
  <c r="O1320" i="1" s="1"/>
  <c r="M1320" i="1"/>
  <c r="O1319" i="1" a="1"/>
  <c r="O1319" i="1" s="1"/>
  <c r="M1319" i="1"/>
  <c r="O1318" i="1" a="1"/>
  <c r="O1318" i="1" s="1"/>
  <c r="M1318" i="1"/>
  <c r="O1317" i="1" a="1"/>
  <c r="O1317" i="1" s="1"/>
  <c r="M1317" i="1"/>
  <c r="O1316" i="1" a="1"/>
  <c r="O1316" i="1" s="1"/>
  <c r="M1316" i="1"/>
  <c r="O1315" i="1" a="1"/>
  <c r="O1315" i="1" s="1"/>
  <c r="M1315" i="1"/>
  <c r="O1314" i="1" a="1"/>
  <c r="O1314" i="1" s="1"/>
  <c r="M1314" i="1"/>
  <c r="O1313" i="1" a="1"/>
  <c r="O1313" i="1" s="1"/>
  <c r="M1313" i="1"/>
  <c r="O1312" i="1" a="1"/>
  <c r="O1312" i="1" s="1"/>
  <c r="M1312" i="1"/>
  <c r="O1311" i="1" a="1"/>
  <c r="O1311" i="1" s="1"/>
  <c r="M1311" i="1"/>
  <c r="O1310" i="1" a="1"/>
  <c r="O1310" i="1" s="1"/>
  <c r="M1310" i="1"/>
  <c r="O1309" i="1" a="1"/>
  <c r="O1309" i="1" s="1"/>
  <c r="M1309" i="1"/>
  <c r="O1308" i="1" a="1"/>
  <c r="O1308" i="1" s="1"/>
  <c r="M1308" i="1"/>
  <c r="O1307" i="1" a="1"/>
  <c r="O1307" i="1" s="1"/>
  <c r="M1307" i="1"/>
  <c r="O1306" i="1" a="1"/>
  <c r="O1306" i="1" s="1"/>
  <c r="M1306" i="1"/>
  <c r="O1305" i="1" a="1"/>
  <c r="O1305" i="1" s="1"/>
  <c r="M1305" i="1"/>
  <c r="O1304" i="1" a="1"/>
  <c r="O1304" i="1" s="1"/>
  <c r="M1304" i="1"/>
  <c r="O1303" i="1" a="1"/>
  <c r="O1303" i="1" s="1"/>
  <c r="M1303" i="1"/>
  <c r="O1302" i="1" a="1"/>
  <c r="O1302" i="1" s="1"/>
  <c r="M1302" i="1"/>
  <c r="O1301" i="1" a="1"/>
  <c r="O1301" i="1" s="1"/>
  <c r="M1301" i="1"/>
  <c r="O1300" i="1" a="1"/>
  <c r="O1300" i="1" s="1"/>
  <c r="M1300" i="1"/>
  <c r="O1299" i="1" a="1"/>
  <c r="O1299" i="1" s="1"/>
  <c r="M1299" i="1"/>
  <c r="O1298" i="1" a="1"/>
  <c r="O1298" i="1" s="1"/>
  <c r="M1298" i="1"/>
  <c r="O1297" i="1" a="1"/>
  <c r="O1297" i="1" s="1"/>
  <c r="M1297" i="1"/>
  <c r="O1296" i="1" a="1"/>
  <c r="O1296" i="1" s="1"/>
  <c r="M1296" i="1"/>
  <c r="O1295" i="1" a="1"/>
  <c r="O1295" i="1" s="1"/>
  <c r="M1295" i="1"/>
  <c r="O1294" i="1" a="1"/>
  <c r="O1294" i="1" s="1"/>
  <c r="M1294" i="1"/>
  <c r="O1293" i="1" a="1"/>
  <c r="O1293" i="1" s="1"/>
  <c r="M1293" i="1"/>
  <c r="O1292" i="1" a="1"/>
  <c r="O1292" i="1" s="1"/>
  <c r="M1292" i="1"/>
  <c r="O1291" i="1" a="1"/>
  <c r="O1291" i="1" s="1"/>
  <c r="M1291" i="1"/>
  <c r="O1290" i="1" a="1"/>
  <c r="O1290" i="1" s="1"/>
  <c r="M1290" i="1"/>
  <c r="O1289" i="1" a="1"/>
  <c r="O1289" i="1" s="1"/>
  <c r="M1289" i="1"/>
  <c r="O1288" i="1" a="1"/>
  <c r="O1288" i="1" s="1"/>
  <c r="M1288" i="1"/>
  <c r="O1287" i="1" a="1"/>
  <c r="O1287" i="1" s="1"/>
  <c r="M1287" i="1"/>
  <c r="O1286" i="1" a="1"/>
  <c r="O1286" i="1" s="1"/>
  <c r="M1286" i="1"/>
  <c r="O1285" i="1" a="1"/>
  <c r="O1285" i="1" s="1"/>
  <c r="M1285" i="1"/>
  <c r="O1284" i="1" a="1"/>
  <c r="O1284" i="1" s="1"/>
  <c r="M1284" i="1"/>
  <c r="O1283" i="1" a="1"/>
  <c r="O1283" i="1" s="1"/>
  <c r="M1283" i="1"/>
  <c r="O1282" i="1" a="1"/>
  <c r="O1282" i="1" s="1"/>
  <c r="M1282" i="1"/>
  <c r="O1281" i="1" a="1"/>
  <c r="O1281" i="1" s="1"/>
  <c r="M1281" i="1"/>
  <c r="O1280" i="1" a="1"/>
  <c r="O1280" i="1" s="1"/>
  <c r="M1280" i="1"/>
  <c r="O1279" i="1" a="1"/>
  <c r="O1279" i="1" s="1"/>
  <c r="M1279" i="1"/>
  <c r="O1278" i="1" a="1"/>
  <c r="O1278" i="1" s="1"/>
  <c r="M1278" i="1"/>
  <c r="O1277" i="1" a="1"/>
  <c r="O1277" i="1" s="1"/>
  <c r="M1277" i="1"/>
  <c r="O1276" i="1" a="1"/>
  <c r="O1276" i="1" s="1"/>
  <c r="M1276" i="1"/>
  <c r="O1275" i="1" a="1"/>
  <c r="O1275" i="1" s="1"/>
  <c r="M1275" i="1"/>
  <c r="O1274" i="1" a="1"/>
  <c r="O1274" i="1" s="1"/>
  <c r="M1274" i="1"/>
  <c r="O1273" i="1" a="1"/>
  <c r="O1273" i="1" s="1"/>
  <c r="M1273" i="1"/>
  <c r="O1272" i="1" a="1"/>
  <c r="O1272" i="1" s="1"/>
  <c r="M1272" i="1"/>
  <c r="O1271" i="1" a="1"/>
  <c r="O1271" i="1" s="1"/>
  <c r="M1271" i="1"/>
  <c r="O1270" i="1" a="1"/>
  <c r="O1270" i="1" s="1"/>
  <c r="M1270" i="1"/>
  <c r="O1269" i="1" a="1"/>
  <c r="O1269" i="1" s="1"/>
  <c r="M1269" i="1"/>
  <c r="O1268" i="1" a="1"/>
  <c r="O1268" i="1" s="1"/>
  <c r="M1268" i="1"/>
  <c r="O1267" i="1" a="1"/>
  <c r="O1267" i="1" s="1"/>
  <c r="M1267" i="1"/>
  <c r="O1266" i="1" a="1"/>
  <c r="O1266" i="1" s="1"/>
  <c r="M1266" i="1"/>
  <c r="O1265" i="1" a="1"/>
  <c r="O1265" i="1" s="1"/>
  <c r="M1265" i="1"/>
  <c r="O1264" i="1" a="1"/>
  <c r="O1264" i="1" s="1"/>
  <c r="M1264" i="1"/>
  <c r="O1263" i="1" a="1"/>
  <c r="O1263" i="1" s="1"/>
  <c r="M1263" i="1"/>
  <c r="O1262" i="1" a="1"/>
  <c r="O1262" i="1" s="1"/>
  <c r="M1262" i="1"/>
  <c r="O1261" i="1" a="1"/>
  <c r="O1261" i="1" s="1"/>
  <c r="M1261" i="1"/>
  <c r="O1260" i="1" a="1"/>
  <c r="O1260" i="1" s="1"/>
  <c r="M1260" i="1"/>
  <c r="O1259" i="1" a="1"/>
  <c r="O1259" i="1" s="1"/>
  <c r="M1259" i="1"/>
  <c r="O1258" i="1" a="1"/>
  <c r="O1258" i="1" s="1"/>
  <c r="M1258" i="1"/>
  <c r="O1257" i="1" a="1"/>
  <c r="O1257" i="1" s="1"/>
  <c r="M1257" i="1"/>
  <c r="O1256" i="1" a="1"/>
  <c r="O1256" i="1" s="1"/>
  <c r="M1256" i="1"/>
  <c r="O1255" i="1" a="1"/>
  <c r="O1255" i="1" s="1"/>
  <c r="M1255" i="1"/>
  <c r="O1254" i="1" a="1"/>
  <c r="O1254" i="1" s="1"/>
  <c r="M1254" i="1"/>
  <c r="O1253" i="1" a="1"/>
  <c r="O1253" i="1" s="1"/>
  <c r="M1253" i="1"/>
  <c r="O1252" i="1" a="1"/>
  <c r="O1252" i="1" s="1"/>
  <c r="M1252" i="1"/>
  <c r="O1251" i="1" a="1"/>
  <c r="O1251" i="1" s="1"/>
  <c r="M1251" i="1"/>
  <c r="O1250" i="1" a="1"/>
  <c r="O1250" i="1" s="1"/>
  <c r="M1250" i="1"/>
  <c r="O1249" i="1" a="1"/>
  <c r="O1249" i="1" s="1"/>
  <c r="M1249" i="1"/>
  <c r="O1248" i="1" a="1"/>
  <c r="O1248" i="1" s="1"/>
  <c r="M1248" i="1"/>
  <c r="O1247" i="1" a="1"/>
  <c r="O1247" i="1" s="1"/>
  <c r="M1247" i="1"/>
  <c r="O1246" i="1" a="1"/>
  <c r="O1246" i="1" s="1"/>
  <c r="M1246" i="1"/>
  <c r="O1245" i="1" a="1"/>
  <c r="O1245" i="1" s="1"/>
  <c r="M1245" i="1"/>
  <c r="O1244" i="1" a="1"/>
  <c r="O1244" i="1" s="1"/>
  <c r="M1244" i="1"/>
  <c r="O1243" i="1" a="1"/>
  <c r="O1243" i="1" s="1"/>
  <c r="M1243" i="1"/>
  <c r="O1242" i="1" a="1"/>
  <c r="O1242" i="1" s="1"/>
  <c r="M1242" i="1"/>
  <c r="O1241" i="1" a="1"/>
  <c r="O1241" i="1" s="1"/>
  <c r="M1241" i="1"/>
  <c r="O1240" i="1" a="1"/>
  <c r="O1240" i="1" s="1"/>
  <c r="M1240" i="1"/>
  <c r="O1239" i="1" a="1"/>
  <c r="O1239" i="1" s="1"/>
  <c r="M1239" i="1"/>
  <c r="O1238" i="1" a="1"/>
  <c r="O1238" i="1" s="1"/>
  <c r="M1238" i="1"/>
  <c r="O1237" i="1" a="1"/>
  <c r="O1237" i="1" s="1"/>
  <c r="M1237" i="1"/>
  <c r="O1236" i="1" a="1"/>
  <c r="O1236" i="1" s="1"/>
  <c r="M1236" i="1"/>
  <c r="O1235" i="1" a="1"/>
  <c r="O1235" i="1" s="1"/>
  <c r="M1235" i="1"/>
  <c r="O1234" i="1" a="1"/>
  <c r="O1234" i="1" s="1"/>
  <c r="M1234" i="1"/>
  <c r="O1233" i="1" a="1"/>
  <c r="O1233" i="1" s="1"/>
  <c r="M1233" i="1"/>
  <c r="O1232" i="1" a="1"/>
  <c r="O1232" i="1" s="1"/>
  <c r="M1232" i="1"/>
  <c r="O1231" i="1" a="1"/>
  <c r="O1231" i="1" s="1"/>
  <c r="M1231" i="1"/>
  <c r="O1230" i="1" a="1"/>
  <c r="O1230" i="1" s="1"/>
  <c r="M1230" i="1"/>
  <c r="O1229" i="1" a="1"/>
  <c r="O1229" i="1" s="1"/>
  <c r="M1229" i="1"/>
  <c r="O1228" i="1" a="1"/>
  <c r="O1228" i="1" s="1"/>
  <c r="M1228" i="1"/>
  <c r="O1227" i="1" a="1"/>
  <c r="O1227" i="1" s="1"/>
  <c r="M1227" i="1"/>
  <c r="O1226" i="1" a="1"/>
  <c r="O1226" i="1" s="1"/>
  <c r="M1226" i="1"/>
  <c r="O1225" i="1" a="1"/>
  <c r="O1225" i="1" s="1"/>
  <c r="M1225" i="1"/>
  <c r="O1224" i="1" a="1"/>
  <c r="O1224" i="1" s="1"/>
  <c r="M1224" i="1"/>
  <c r="O1223" i="1" a="1"/>
  <c r="O1223" i="1" s="1"/>
  <c r="M1223" i="1"/>
  <c r="O1222" i="1" a="1"/>
  <c r="O1222" i="1" s="1"/>
  <c r="M1222" i="1"/>
  <c r="O1221" i="1" a="1"/>
  <c r="O1221" i="1" s="1"/>
  <c r="M1221" i="1"/>
  <c r="O1220" i="1" a="1"/>
  <c r="O1220" i="1" s="1"/>
  <c r="M1220" i="1"/>
  <c r="O1219" i="1" a="1"/>
  <c r="O1219" i="1" s="1"/>
  <c r="M1219" i="1"/>
  <c r="O1218" i="1" a="1"/>
  <c r="O1218" i="1" s="1"/>
  <c r="M1218" i="1"/>
  <c r="O1217" i="1" a="1"/>
  <c r="O1217" i="1" s="1"/>
  <c r="M1217" i="1"/>
  <c r="O1216" i="1" a="1"/>
  <c r="O1216" i="1" s="1"/>
  <c r="M1216" i="1"/>
  <c r="O1215" i="1" a="1"/>
  <c r="O1215" i="1" s="1"/>
  <c r="M1215" i="1"/>
  <c r="O1214" i="1" a="1"/>
  <c r="O1214" i="1" s="1"/>
  <c r="M1214" i="1"/>
  <c r="O1213" i="1" a="1"/>
  <c r="O1213" i="1" s="1"/>
  <c r="M1213" i="1"/>
  <c r="O1212" i="1" a="1"/>
  <c r="O1212" i="1" s="1"/>
  <c r="M1212" i="1"/>
  <c r="O1211" i="1" a="1"/>
  <c r="O1211" i="1" s="1"/>
  <c r="M1211" i="1"/>
  <c r="O1210" i="1" a="1"/>
  <c r="O1210" i="1" s="1"/>
  <c r="M1210" i="1"/>
  <c r="O1209" i="1" a="1"/>
  <c r="O1209" i="1" s="1"/>
  <c r="M1209" i="1"/>
  <c r="O1208" i="1" a="1"/>
  <c r="O1208" i="1" s="1"/>
  <c r="M1208" i="1"/>
  <c r="O1207" i="1" a="1"/>
  <c r="O1207" i="1" s="1"/>
  <c r="M1207" i="1"/>
  <c r="O1206" i="1" a="1"/>
  <c r="O1206" i="1" s="1"/>
  <c r="M1206" i="1"/>
  <c r="O1205" i="1" a="1"/>
  <c r="O1205" i="1" s="1"/>
  <c r="M1205" i="1"/>
  <c r="O1204" i="1" a="1"/>
  <c r="O1204" i="1" s="1"/>
  <c r="M1204" i="1"/>
  <c r="O1203" i="1" a="1"/>
  <c r="O1203" i="1" s="1"/>
  <c r="M1203" i="1"/>
  <c r="O1202" i="1" a="1"/>
  <c r="O1202" i="1" s="1"/>
  <c r="M1202" i="1"/>
  <c r="O1201" i="1" a="1"/>
  <c r="O1201" i="1" s="1"/>
  <c r="M1201" i="1"/>
  <c r="O1200" i="1" a="1"/>
  <c r="O1200" i="1" s="1"/>
  <c r="M1200" i="1"/>
  <c r="O1199" i="1" a="1"/>
  <c r="O1199" i="1" s="1"/>
  <c r="M1199" i="1"/>
  <c r="O1198" i="1" a="1"/>
  <c r="O1198" i="1" s="1"/>
  <c r="M1198" i="1"/>
  <c r="O1197" i="1" a="1"/>
  <c r="O1197" i="1" s="1"/>
  <c r="M1197" i="1"/>
  <c r="O1196" i="1" a="1"/>
  <c r="O1196" i="1" s="1"/>
  <c r="M1196" i="1"/>
  <c r="O1195" i="1" a="1"/>
  <c r="O1195" i="1" s="1"/>
  <c r="M1195" i="1"/>
  <c r="O1194" i="1" a="1"/>
  <c r="O1194" i="1" s="1"/>
  <c r="M1194" i="1"/>
  <c r="O1193" i="1" a="1"/>
  <c r="O1193" i="1" s="1"/>
  <c r="M1193" i="1"/>
  <c r="O1192" i="1" a="1"/>
  <c r="O1192" i="1" s="1"/>
  <c r="M1192" i="1"/>
  <c r="O1191" i="1" a="1"/>
  <c r="O1191" i="1" s="1"/>
  <c r="M1191" i="1"/>
  <c r="O1190" i="1" a="1"/>
  <c r="O1190" i="1" s="1"/>
  <c r="M1190" i="1"/>
  <c r="O1189" i="1" a="1"/>
  <c r="O1189" i="1" s="1"/>
  <c r="M1189" i="1"/>
  <c r="O1188" i="1" a="1"/>
  <c r="O1188" i="1" s="1"/>
  <c r="M1188" i="1"/>
  <c r="O1187" i="1" a="1"/>
  <c r="O1187" i="1" s="1"/>
  <c r="M1187" i="1"/>
  <c r="O1186" i="1" a="1"/>
  <c r="O1186" i="1" s="1"/>
  <c r="M1186" i="1"/>
  <c r="O1185" i="1" a="1"/>
  <c r="O1185" i="1" s="1"/>
  <c r="M1185" i="1"/>
  <c r="O1184" i="1" a="1"/>
  <c r="O1184" i="1" s="1"/>
  <c r="M1184" i="1"/>
  <c r="O1183" i="1" a="1"/>
  <c r="O1183" i="1" s="1"/>
  <c r="M1183" i="1"/>
  <c r="O1182" i="1" a="1"/>
  <c r="O1182" i="1" s="1"/>
  <c r="M1182" i="1"/>
  <c r="O1181" i="1" a="1"/>
  <c r="O1181" i="1" s="1"/>
  <c r="M1181" i="1"/>
  <c r="O1180" i="1" a="1"/>
  <c r="O1180" i="1" s="1"/>
  <c r="M1180" i="1"/>
  <c r="O1179" i="1" a="1"/>
  <c r="O1179" i="1" s="1"/>
  <c r="M1179" i="1"/>
  <c r="O1178" i="1" a="1"/>
  <c r="O1178" i="1" s="1"/>
  <c r="M1178" i="1"/>
  <c r="O1177" i="1" a="1"/>
  <c r="O1177" i="1" s="1"/>
  <c r="M1177" i="1"/>
  <c r="O1176" i="1" a="1"/>
  <c r="O1176" i="1" s="1"/>
  <c r="M1176" i="1"/>
  <c r="O1175" i="1" a="1"/>
  <c r="O1175" i="1" s="1"/>
  <c r="M1175" i="1"/>
  <c r="O1174" i="1" a="1"/>
  <c r="O1174" i="1" s="1"/>
  <c r="M1174" i="1"/>
  <c r="O1173" i="1" a="1"/>
  <c r="O1173" i="1" s="1"/>
  <c r="M1173" i="1"/>
  <c r="O1172" i="1" a="1"/>
  <c r="O1172" i="1" s="1"/>
  <c r="M1172" i="1"/>
  <c r="O1171" i="1" a="1"/>
  <c r="O1171" i="1" s="1"/>
  <c r="M1171" i="1"/>
  <c r="O1170" i="1" a="1"/>
  <c r="O1170" i="1" s="1"/>
  <c r="M1170" i="1"/>
  <c r="O1169" i="1" a="1"/>
  <c r="O1169" i="1" s="1"/>
  <c r="M1169" i="1"/>
  <c r="O1168" i="1" a="1"/>
  <c r="O1168" i="1" s="1"/>
  <c r="M1168" i="1"/>
  <c r="O1167" i="1" a="1"/>
  <c r="O1167" i="1" s="1"/>
  <c r="M1167" i="1"/>
  <c r="O1166" i="1" a="1"/>
  <c r="O1166" i="1" s="1"/>
  <c r="M1166" i="1"/>
  <c r="O1165" i="1" a="1"/>
  <c r="O1165" i="1" s="1"/>
  <c r="M1165" i="1"/>
  <c r="O1164" i="1" a="1"/>
  <c r="O1164" i="1" s="1"/>
  <c r="M1164" i="1"/>
  <c r="O1163" i="1" a="1"/>
  <c r="O1163" i="1" s="1"/>
  <c r="M1163" i="1"/>
  <c r="O1162" i="1" a="1"/>
  <c r="O1162" i="1" s="1"/>
  <c r="M1162" i="1"/>
  <c r="O1161" i="1" a="1"/>
  <c r="O1161" i="1" s="1"/>
  <c r="M1161" i="1"/>
  <c r="O1160" i="1" a="1"/>
  <c r="O1160" i="1" s="1"/>
  <c r="M1160" i="1"/>
  <c r="O1159" i="1" a="1"/>
  <c r="O1159" i="1" s="1"/>
  <c r="M1159" i="1"/>
  <c r="O1158" i="1" a="1"/>
  <c r="O1158" i="1" s="1"/>
  <c r="M1158" i="1"/>
  <c r="O1157" i="1" a="1"/>
  <c r="O1157" i="1" s="1"/>
  <c r="M1157" i="1"/>
  <c r="O1156" i="1" a="1"/>
  <c r="O1156" i="1" s="1"/>
  <c r="M1156" i="1"/>
  <c r="O1155" i="1" a="1"/>
  <c r="O1155" i="1" s="1"/>
  <c r="M1155" i="1"/>
  <c r="O1154" i="1" a="1"/>
  <c r="O1154" i="1" s="1"/>
  <c r="M1154" i="1"/>
  <c r="O1153" i="1" a="1"/>
  <c r="O1153" i="1" s="1"/>
  <c r="M1153" i="1"/>
  <c r="O1152" i="1" a="1"/>
  <c r="O1152" i="1" s="1"/>
  <c r="M1152" i="1"/>
  <c r="O1151" i="1" a="1"/>
  <c r="O1151" i="1" s="1"/>
  <c r="M1151" i="1"/>
  <c r="O1150" i="1" a="1"/>
  <c r="O1150" i="1" s="1"/>
  <c r="M1150" i="1"/>
  <c r="O1149" i="1" a="1"/>
  <c r="O1149" i="1" s="1"/>
  <c r="M1149" i="1"/>
  <c r="O1148" i="1" a="1"/>
  <c r="O1148" i="1" s="1"/>
  <c r="M1148" i="1"/>
  <c r="O1147" i="1" a="1"/>
  <c r="O1147" i="1" s="1"/>
  <c r="M1147" i="1"/>
  <c r="O1146" i="1" a="1"/>
  <c r="O1146" i="1" s="1"/>
  <c r="M1146" i="1"/>
  <c r="O1145" i="1" a="1"/>
  <c r="O1145" i="1" s="1"/>
  <c r="M1145" i="1"/>
  <c r="O1144" i="1" a="1"/>
  <c r="O1144" i="1" s="1"/>
  <c r="M1144" i="1"/>
  <c r="O1143" i="1" a="1"/>
  <c r="O1143" i="1" s="1"/>
  <c r="M1143" i="1"/>
  <c r="O1142" i="1" a="1"/>
  <c r="O1142" i="1" s="1"/>
  <c r="M1142" i="1"/>
  <c r="O1141" i="1" a="1"/>
  <c r="O1141" i="1" s="1"/>
  <c r="M1141" i="1"/>
  <c r="O1140" i="1" a="1"/>
  <c r="O1140" i="1" s="1"/>
  <c r="M1140" i="1"/>
  <c r="O1139" i="1" a="1"/>
  <c r="O1139" i="1" s="1"/>
  <c r="M1139" i="1"/>
  <c r="O1138" i="1" a="1"/>
  <c r="O1138" i="1" s="1"/>
  <c r="M1138" i="1"/>
  <c r="O1137" i="1" a="1"/>
  <c r="O1137" i="1" s="1"/>
  <c r="M1137" i="1"/>
  <c r="O1136" i="1" a="1"/>
  <c r="O1136" i="1" s="1"/>
  <c r="M1136" i="1"/>
  <c r="O1135" i="1" a="1"/>
  <c r="O1135" i="1" s="1"/>
  <c r="M1135" i="1"/>
  <c r="O1134" i="1" a="1"/>
  <c r="O1134" i="1" s="1"/>
  <c r="M1134" i="1"/>
  <c r="O1133" i="1" a="1"/>
  <c r="O1133" i="1" s="1"/>
  <c r="M1133" i="1"/>
  <c r="O1132" i="1" a="1"/>
  <c r="O1132" i="1" s="1"/>
  <c r="M1132" i="1"/>
  <c r="O1131" i="1" a="1"/>
  <c r="O1131" i="1" s="1"/>
  <c r="M1131" i="1"/>
  <c r="O1130" i="1" a="1"/>
  <c r="O1130" i="1" s="1"/>
  <c r="M1130" i="1"/>
  <c r="O1129" i="1" a="1"/>
  <c r="O1129" i="1" s="1"/>
  <c r="M1129" i="1"/>
  <c r="O1128" i="1" a="1"/>
  <c r="O1128" i="1" s="1"/>
  <c r="M1128" i="1"/>
  <c r="O1127" i="1" a="1"/>
  <c r="O1127" i="1" s="1"/>
  <c r="M1127" i="1"/>
  <c r="O1126" i="1" a="1"/>
  <c r="O1126" i="1" s="1"/>
  <c r="M1126" i="1"/>
  <c r="O1125" i="1" a="1"/>
  <c r="O1125" i="1" s="1"/>
  <c r="M1125" i="1"/>
  <c r="O1124" i="1" a="1"/>
  <c r="O1124" i="1" s="1"/>
  <c r="M1124" i="1"/>
  <c r="O1123" i="1" a="1"/>
  <c r="O1123" i="1" s="1"/>
  <c r="M1123" i="1"/>
  <c r="O1122" i="1" a="1"/>
  <c r="O1122" i="1" s="1"/>
  <c r="M1122" i="1"/>
  <c r="O1121" i="1" a="1"/>
  <c r="O1121" i="1" s="1"/>
  <c r="M1121" i="1"/>
  <c r="O1120" i="1" a="1"/>
  <c r="O1120" i="1" s="1"/>
  <c r="M1120" i="1"/>
  <c r="O1119" i="1" a="1"/>
  <c r="O1119" i="1" s="1"/>
  <c r="M1119" i="1"/>
  <c r="O1118" i="1" a="1"/>
  <c r="O1118" i="1" s="1"/>
  <c r="M1118" i="1"/>
  <c r="O1117" i="1" a="1"/>
  <c r="O1117" i="1" s="1"/>
  <c r="M1117" i="1"/>
  <c r="O1116" i="1" a="1"/>
  <c r="O1116" i="1" s="1"/>
  <c r="M1116" i="1"/>
  <c r="O1115" i="1" a="1"/>
  <c r="O1115" i="1" s="1"/>
  <c r="M1115" i="1"/>
  <c r="O1114" i="1" a="1"/>
  <c r="O1114" i="1" s="1"/>
  <c r="M1114" i="1"/>
  <c r="O1113" i="1" a="1"/>
  <c r="O1113" i="1" s="1"/>
  <c r="M1113" i="1"/>
  <c r="O1112" i="1" a="1"/>
  <c r="O1112" i="1" s="1"/>
  <c r="M1112" i="1"/>
  <c r="O1111" i="1" a="1"/>
  <c r="O1111" i="1" s="1"/>
  <c r="M1111" i="1"/>
  <c r="O1110" i="1" a="1"/>
  <c r="O1110" i="1" s="1"/>
  <c r="M1110" i="1"/>
  <c r="O1109" i="1" a="1"/>
  <c r="O1109" i="1" s="1"/>
  <c r="M1109" i="1"/>
  <c r="O1108" i="1" a="1"/>
  <c r="O1108" i="1" s="1"/>
  <c r="M1108" i="1"/>
  <c r="O1107" i="1" a="1"/>
  <c r="O1107" i="1" s="1"/>
  <c r="M1107" i="1"/>
  <c r="O1106" i="1" a="1"/>
  <c r="O1106" i="1" s="1"/>
  <c r="M1106" i="1"/>
  <c r="O1105" i="1" a="1"/>
  <c r="O1105" i="1" s="1"/>
  <c r="M1105" i="1"/>
  <c r="O1104" i="1" a="1"/>
  <c r="O1104" i="1" s="1"/>
  <c r="M1104" i="1"/>
  <c r="O1103" i="1" a="1"/>
  <c r="O1103" i="1" s="1"/>
  <c r="M1103" i="1"/>
  <c r="O1102" i="1" a="1"/>
  <c r="O1102" i="1" s="1"/>
  <c r="M1102" i="1"/>
  <c r="O1101" i="1" a="1"/>
  <c r="O1101" i="1" s="1"/>
  <c r="M1101" i="1"/>
  <c r="O1100" i="1" a="1"/>
  <c r="O1100" i="1" s="1"/>
  <c r="M1100" i="1"/>
  <c r="O1099" i="1" a="1"/>
  <c r="O1099" i="1" s="1"/>
  <c r="M1099" i="1"/>
  <c r="O1098" i="1" a="1"/>
  <c r="O1098" i="1" s="1"/>
  <c r="M1098" i="1"/>
  <c r="O1097" i="1" a="1"/>
  <c r="O1097" i="1" s="1"/>
  <c r="M1097" i="1"/>
  <c r="O1096" i="1" a="1"/>
  <c r="O1096" i="1" s="1"/>
  <c r="M1096" i="1"/>
  <c r="O1095" i="1" a="1"/>
  <c r="O1095" i="1" s="1"/>
  <c r="M1095" i="1"/>
  <c r="O1094" i="1" a="1"/>
  <c r="O1094" i="1" s="1"/>
  <c r="M1094" i="1"/>
  <c r="O1093" i="1" a="1"/>
  <c r="O1093" i="1" s="1"/>
  <c r="M1093" i="1"/>
  <c r="O1092" i="1" a="1"/>
  <c r="O1092" i="1" s="1"/>
  <c r="M1092" i="1"/>
  <c r="O1091" i="1" a="1"/>
  <c r="O1091" i="1" s="1"/>
  <c r="M1091" i="1"/>
  <c r="O1090" i="1" a="1"/>
  <c r="O1090" i="1" s="1"/>
  <c r="M1090" i="1"/>
  <c r="O1089" i="1" a="1"/>
  <c r="O1089" i="1" s="1"/>
  <c r="M1089" i="1"/>
  <c r="O1088" i="1" a="1"/>
  <c r="O1088" i="1" s="1"/>
  <c r="M1088" i="1"/>
  <c r="O1087" i="1" a="1"/>
  <c r="O1087" i="1" s="1"/>
  <c r="M1087" i="1"/>
  <c r="O1086" i="1" a="1"/>
  <c r="O1086" i="1" s="1"/>
  <c r="M1086" i="1"/>
  <c r="O1085" i="1" a="1"/>
  <c r="O1085" i="1" s="1"/>
  <c r="M1085" i="1"/>
  <c r="O1084" i="1" a="1"/>
  <c r="O1084" i="1" s="1"/>
  <c r="M1084" i="1"/>
  <c r="O1083" i="1" a="1"/>
  <c r="O1083" i="1" s="1"/>
  <c r="M1083" i="1"/>
  <c r="O1082" i="1" a="1"/>
  <c r="O1082" i="1" s="1"/>
  <c r="M1082" i="1"/>
  <c r="O1081" i="1" a="1"/>
  <c r="O1081" i="1" s="1"/>
  <c r="M1081" i="1"/>
  <c r="O1080" i="1" a="1"/>
  <c r="O1080" i="1" s="1"/>
  <c r="M1080" i="1"/>
  <c r="O1079" i="1" a="1"/>
  <c r="O1079" i="1" s="1"/>
  <c r="M1079" i="1"/>
  <c r="O1078" i="1" a="1"/>
  <c r="O1078" i="1" s="1"/>
  <c r="M1078" i="1"/>
  <c r="O1077" i="1" a="1"/>
  <c r="O1077" i="1" s="1"/>
  <c r="M1077" i="1"/>
  <c r="O1076" i="1" a="1"/>
  <c r="O1076" i="1" s="1"/>
  <c r="M1076" i="1"/>
  <c r="O1075" i="1" a="1"/>
  <c r="O1075" i="1" s="1"/>
  <c r="M1075" i="1"/>
  <c r="O1074" i="1" a="1"/>
  <c r="O1074" i="1" s="1"/>
  <c r="M1074" i="1"/>
  <c r="O1073" i="1" a="1"/>
  <c r="O1073" i="1" s="1"/>
  <c r="M1073" i="1"/>
  <c r="O1072" i="1" a="1"/>
  <c r="O1072" i="1" s="1"/>
  <c r="M1072" i="1"/>
  <c r="O1071" i="1" a="1"/>
  <c r="O1071" i="1" s="1"/>
  <c r="M1071" i="1"/>
  <c r="O1070" i="1" a="1"/>
  <c r="O1070" i="1" s="1"/>
  <c r="M1070" i="1"/>
  <c r="O1069" i="1" a="1"/>
  <c r="O1069" i="1" s="1"/>
  <c r="M1069" i="1"/>
  <c r="O1068" i="1" a="1"/>
  <c r="O1068" i="1" s="1"/>
  <c r="M1068" i="1"/>
  <c r="O1067" i="1" a="1"/>
  <c r="O1067" i="1" s="1"/>
  <c r="M1067" i="1"/>
  <c r="O1066" i="1" a="1"/>
  <c r="O1066" i="1" s="1"/>
  <c r="M1066" i="1"/>
  <c r="O1065" i="1" a="1"/>
  <c r="O1065" i="1" s="1"/>
  <c r="M1065" i="1"/>
  <c r="O1064" i="1" a="1"/>
  <c r="O1064" i="1" s="1"/>
  <c r="M1064" i="1"/>
  <c r="O1063" i="1" a="1"/>
  <c r="O1063" i="1" s="1"/>
  <c r="M1063" i="1"/>
  <c r="O1062" i="1" a="1"/>
  <c r="O1062" i="1" s="1"/>
  <c r="M1062" i="1"/>
  <c r="O1061" i="1" a="1"/>
  <c r="O1061" i="1" s="1"/>
  <c r="M1061" i="1"/>
  <c r="O1060" i="1" a="1"/>
  <c r="O1060" i="1" s="1"/>
  <c r="M1060" i="1"/>
  <c r="O1059" i="1" a="1"/>
  <c r="O1059" i="1" s="1"/>
  <c r="M1059" i="1"/>
  <c r="O1058" i="1" a="1"/>
  <c r="O1058" i="1" s="1"/>
  <c r="M1058" i="1"/>
  <c r="O1057" i="1" a="1"/>
  <c r="O1057" i="1" s="1"/>
  <c r="M1057" i="1"/>
  <c r="O1056" i="1" a="1"/>
  <c r="O1056" i="1" s="1"/>
  <c r="M1056" i="1"/>
  <c r="O1055" i="1" a="1"/>
  <c r="O1055" i="1" s="1"/>
  <c r="M1055" i="1"/>
  <c r="O1054" i="1" a="1"/>
  <c r="O1054" i="1" s="1"/>
  <c r="M1054" i="1"/>
  <c r="O1053" i="1" a="1"/>
  <c r="O1053" i="1" s="1"/>
  <c r="M1053" i="1"/>
  <c r="O1052" i="1" a="1"/>
  <c r="O1052" i="1" s="1"/>
  <c r="M1052" i="1"/>
  <c r="O1051" i="1" a="1"/>
  <c r="O1051" i="1" s="1"/>
  <c r="M1051" i="1"/>
  <c r="O1050" i="1" a="1"/>
  <c r="O1050" i="1" s="1"/>
  <c r="M1050" i="1"/>
  <c r="O1049" i="1" a="1"/>
  <c r="O1049" i="1" s="1"/>
  <c r="M1049" i="1"/>
  <c r="O1048" i="1" a="1"/>
  <c r="O1048" i="1" s="1"/>
  <c r="M1048" i="1"/>
  <c r="O1047" i="1" a="1"/>
  <c r="O1047" i="1" s="1"/>
  <c r="M1047" i="1"/>
  <c r="O1046" i="1" a="1"/>
  <c r="O1046" i="1" s="1"/>
  <c r="M1046" i="1"/>
  <c r="O1045" i="1" a="1"/>
  <c r="O1045" i="1" s="1"/>
  <c r="M1045" i="1"/>
  <c r="O1044" i="1" a="1"/>
  <c r="O1044" i="1" s="1"/>
  <c r="M1044" i="1"/>
  <c r="O1043" i="1" a="1"/>
  <c r="O1043" i="1" s="1"/>
  <c r="M1043" i="1"/>
  <c r="O1042" i="1" a="1"/>
  <c r="O1042" i="1" s="1"/>
  <c r="M1042" i="1"/>
  <c r="O1041" i="1" a="1"/>
  <c r="O1041" i="1" s="1"/>
  <c r="M1041" i="1"/>
  <c r="O1040" i="1" a="1"/>
  <c r="O1040" i="1" s="1"/>
  <c r="M1040" i="1"/>
  <c r="O1039" i="1" a="1"/>
  <c r="O1039" i="1" s="1"/>
  <c r="M1039" i="1"/>
  <c r="O1038" i="1" a="1"/>
  <c r="O1038" i="1" s="1"/>
  <c r="M1038" i="1"/>
  <c r="O1037" i="1" a="1"/>
  <c r="O1037" i="1" s="1"/>
  <c r="M1037" i="1"/>
  <c r="O1036" i="1" a="1"/>
  <c r="O1036" i="1" s="1"/>
  <c r="M1036" i="1"/>
  <c r="O1035" i="1" a="1"/>
  <c r="O1035" i="1" s="1"/>
  <c r="M1035" i="1"/>
  <c r="O1034" i="1" a="1"/>
  <c r="O1034" i="1" s="1"/>
  <c r="M1034" i="1"/>
  <c r="O1033" i="1" a="1"/>
  <c r="O1033" i="1" s="1"/>
  <c r="M1033" i="1"/>
  <c r="O1032" i="1" a="1"/>
  <c r="O1032" i="1" s="1"/>
  <c r="M1032" i="1"/>
  <c r="O1031" i="1" a="1"/>
  <c r="O1031" i="1" s="1"/>
  <c r="M1031" i="1"/>
  <c r="O1030" i="1" a="1"/>
  <c r="O1030" i="1" s="1"/>
  <c r="M1030" i="1"/>
  <c r="O1029" i="1" a="1"/>
  <c r="O1029" i="1" s="1"/>
  <c r="M1029" i="1"/>
  <c r="O1028" i="1" a="1"/>
  <c r="O1028" i="1" s="1"/>
  <c r="M1028" i="1"/>
  <c r="O1027" i="1" a="1"/>
  <c r="O1027" i="1" s="1"/>
  <c r="M1027" i="1"/>
  <c r="O1026" i="1" a="1"/>
  <c r="O1026" i="1" s="1"/>
  <c r="M1026" i="1"/>
  <c r="O1025" i="1" a="1"/>
  <c r="O1025" i="1" s="1"/>
  <c r="M1025" i="1"/>
  <c r="O1024" i="1" a="1"/>
  <c r="O1024" i="1" s="1"/>
  <c r="M1024" i="1"/>
  <c r="O1023" i="1" a="1"/>
  <c r="O1023" i="1" s="1"/>
  <c r="M1023" i="1"/>
  <c r="O1022" i="1" a="1"/>
  <c r="O1022" i="1" s="1"/>
  <c r="M1022" i="1"/>
  <c r="O1021" i="1" a="1"/>
  <c r="O1021" i="1" s="1"/>
  <c r="M1021" i="1"/>
  <c r="O1020" i="1" a="1"/>
  <c r="O1020" i="1" s="1"/>
  <c r="M1020" i="1"/>
  <c r="O1019" i="1" a="1"/>
  <c r="O1019" i="1" s="1"/>
  <c r="M1019" i="1"/>
  <c r="O1018" i="1" a="1"/>
  <c r="O1018" i="1" s="1"/>
  <c r="M1018" i="1"/>
  <c r="O1017" i="1" a="1"/>
  <c r="O1017" i="1" s="1"/>
  <c r="M1017" i="1"/>
  <c r="O1016" i="1" a="1"/>
  <c r="O1016" i="1" s="1"/>
  <c r="M1016" i="1"/>
  <c r="O1015" i="1" a="1"/>
  <c r="O1015" i="1" s="1"/>
  <c r="M1015" i="1"/>
  <c r="O1014" i="1" a="1"/>
  <c r="O1014" i="1" s="1"/>
  <c r="M1014" i="1"/>
  <c r="O1013" i="1" a="1"/>
  <c r="O1013" i="1" s="1"/>
  <c r="M1013" i="1"/>
  <c r="O1012" i="1" a="1"/>
  <c r="O1012" i="1" s="1"/>
  <c r="M1012" i="1"/>
  <c r="O1011" i="1" a="1"/>
  <c r="O1011" i="1" s="1"/>
  <c r="M1011" i="1"/>
  <c r="O1010" i="1" a="1"/>
  <c r="O1010" i="1" s="1"/>
  <c r="M1010" i="1"/>
  <c r="O1009" i="1" a="1"/>
  <c r="O1009" i="1" s="1"/>
  <c r="M1009" i="1"/>
  <c r="O1008" i="1" a="1"/>
  <c r="O1008" i="1" s="1"/>
  <c r="M1008" i="1"/>
  <c r="O1007" i="1" a="1"/>
  <c r="O1007" i="1" s="1"/>
  <c r="M1007" i="1"/>
  <c r="O1006" i="1" a="1"/>
  <c r="O1006" i="1" s="1"/>
  <c r="M1006" i="1"/>
  <c r="O1005" i="1" a="1"/>
  <c r="O1005" i="1" s="1"/>
  <c r="M1005" i="1"/>
  <c r="O1004" i="1" a="1"/>
  <c r="O1004" i="1" s="1"/>
  <c r="M1004" i="1"/>
  <c r="O1003" i="1" a="1"/>
  <c r="O1003" i="1" s="1"/>
  <c r="M1003" i="1"/>
  <c r="O1002" i="1" a="1"/>
  <c r="O1002" i="1" s="1"/>
  <c r="M1002" i="1"/>
  <c r="O1001" i="1" a="1"/>
  <c r="O1001" i="1" s="1"/>
  <c r="M1001" i="1"/>
  <c r="O1000" i="1" a="1"/>
  <c r="O1000" i="1" s="1"/>
  <c r="M1000" i="1"/>
  <c r="O999" i="1" a="1"/>
  <c r="O999" i="1" s="1"/>
  <c r="M999" i="1"/>
  <c r="O998" i="1" a="1"/>
  <c r="O998" i="1" s="1"/>
  <c r="M998" i="1"/>
  <c r="O997" i="1" a="1"/>
  <c r="O997" i="1" s="1"/>
  <c r="M997" i="1"/>
  <c r="O996" i="1" a="1"/>
  <c r="O996" i="1" s="1"/>
  <c r="M996" i="1"/>
  <c r="O995" i="1" a="1"/>
  <c r="O995" i="1" s="1"/>
  <c r="M995" i="1"/>
  <c r="O994" i="1" a="1"/>
  <c r="O994" i="1" s="1"/>
  <c r="M994" i="1"/>
  <c r="O993" i="1" a="1"/>
  <c r="O993" i="1" s="1"/>
  <c r="M993" i="1"/>
  <c r="O992" i="1" a="1"/>
  <c r="O992" i="1" s="1"/>
  <c r="M992" i="1"/>
  <c r="O991" i="1" a="1"/>
  <c r="O991" i="1" s="1"/>
  <c r="M991" i="1"/>
  <c r="O990" i="1" a="1"/>
  <c r="O990" i="1" s="1"/>
  <c r="M990" i="1"/>
  <c r="O989" i="1" a="1"/>
  <c r="O989" i="1" s="1"/>
  <c r="M989" i="1"/>
  <c r="O988" i="1" a="1"/>
  <c r="O988" i="1" s="1"/>
  <c r="M988" i="1"/>
  <c r="O987" i="1" a="1"/>
  <c r="O987" i="1" s="1"/>
  <c r="M987" i="1"/>
  <c r="O986" i="1" a="1"/>
  <c r="O986" i="1" s="1"/>
  <c r="M986" i="1"/>
  <c r="O985" i="1" a="1"/>
  <c r="O985" i="1" s="1"/>
  <c r="M985" i="1"/>
  <c r="O984" i="1" a="1"/>
  <c r="O984" i="1" s="1"/>
  <c r="M984" i="1"/>
  <c r="O983" i="1" a="1"/>
  <c r="O983" i="1" s="1"/>
  <c r="M983" i="1"/>
  <c r="O982" i="1" a="1"/>
  <c r="O982" i="1" s="1"/>
  <c r="M982" i="1"/>
  <c r="O981" i="1" a="1"/>
  <c r="O981" i="1" s="1"/>
  <c r="M981" i="1"/>
  <c r="O980" i="1" a="1"/>
  <c r="O980" i="1" s="1"/>
  <c r="M980" i="1"/>
  <c r="O979" i="1" a="1"/>
  <c r="O979" i="1" s="1"/>
  <c r="M979" i="1"/>
  <c r="O978" i="1" a="1"/>
  <c r="O978" i="1" s="1"/>
  <c r="M978" i="1"/>
  <c r="O977" i="1" a="1"/>
  <c r="O977" i="1" s="1"/>
  <c r="M977" i="1"/>
  <c r="O976" i="1" a="1"/>
  <c r="O976" i="1" s="1"/>
  <c r="M976" i="1"/>
  <c r="O975" i="1" a="1"/>
  <c r="O975" i="1" s="1"/>
  <c r="M975" i="1"/>
  <c r="O974" i="1" a="1"/>
  <c r="O974" i="1" s="1"/>
  <c r="M974" i="1"/>
  <c r="O973" i="1" a="1"/>
  <c r="O973" i="1" s="1"/>
  <c r="M973" i="1"/>
  <c r="O972" i="1" a="1"/>
  <c r="O972" i="1" s="1"/>
  <c r="M972" i="1"/>
  <c r="O971" i="1" a="1"/>
  <c r="O971" i="1" s="1"/>
  <c r="M971" i="1"/>
  <c r="O970" i="1" a="1"/>
  <c r="O970" i="1" s="1"/>
  <c r="M970" i="1"/>
  <c r="O969" i="1" a="1"/>
  <c r="O969" i="1" s="1"/>
  <c r="M969" i="1"/>
  <c r="O968" i="1" a="1"/>
  <c r="O968" i="1" s="1"/>
  <c r="M968" i="1"/>
  <c r="O967" i="1" a="1"/>
  <c r="O967" i="1" s="1"/>
  <c r="M967" i="1"/>
  <c r="O966" i="1" a="1"/>
  <c r="O966" i="1" s="1"/>
  <c r="M966" i="1"/>
  <c r="O965" i="1" a="1"/>
  <c r="O965" i="1" s="1"/>
  <c r="M965" i="1"/>
  <c r="O964" i="1" a="1"/>
  <c r="O964" i="1" s="1"/>
  <c r="M964" i="1"/>
  <c r="O963" i="1" a="1"/>
  <c r="O963" i="1" s="1"/>
  <c r="M963" i="1"/>
  <c r="O962" i="1" a="1"/>
  <c r="O962" i="1" s="1"/>
  <c r="M962" i="1"/>
  <c r="O961" i="1" a="1"/>
  <c r="O961" i="1" s="1"/>
  <c r="M961" i="1"/>
  <c r="O960" i="1" a="1"/>
  <c r="O960" i="1" s="1"/>
  <c r="M960" i="1"/>
  <c r="O959" i="1" a="1"/>
  <c r="O959" i="1" s="1"/>
  <c r="M959" i="1"/>
  <c r="O958" i="1" a="1"/>
  <c r="O958" i="1" s="1"/>
  <c r="M958" i="1"/>
  <c r="O957" i="1" a="1"/>
  <c r="O957" i="1" s="1"/>
  <c r="M957" i="1"/>
  <c r="O956" i="1" a="1"/>
  <c r="O956" i="1" s="1"/>
  <c r="M956" i="1"/>
  <c r="O955" i="1" a="1"/>
  <c r="O955" i="1" s="1"/>
  <c r="M955" i="1"/>
  <c r="O954" i="1" a="1"/>
  <c r="O954" i="1" s="1"/>
  <c r="M954" i="1"/>
  <c r="O953" i="1" a="1"/>
  <c r="O953" i="1" s="1"/>
  <c r="M953" i="1"/>
  <c r="O952" i="1" a="1"/>
  <c r="O952" i="1" s="1"/>
  <c r="M952" i="1"/>
  <c r="O951" i="1" a="1"/>
  <c r="O951" i="1" s="1"/>
  <c r="M951" i="1"/>
  <c r="O950" i="1" a="1"/>
  <c r="O950" i="1" s="1"/>
  <c r="M950" i="1"/>
  <c r="O949" i="1" a="1"/>
  <c r="O949" i="1" s="1"/>
  <c r="M949" i="1"/>
  <c r="O948" i="1" a="1"/>
  <c r="O948" i="1" s="1"/>
  <c r="M948" i="1"/>
  <c r="O947" i="1" a="1"/>
  <c r="O947" i="1" s="1"/>
  <c r="M947" i="1"/>
  <c r="O946" i="1" a="1"/>
  <c r="O946" i="1" s="1"/>
  <c r="M946" i="1"/>
  <c r="O945" i="1" a="1"/>
  <c r="O945" i="1" s="1"/>
  <c r="M945" i="1"/>
  <c r="O944" i="1" a="1"/>
  <c r="O944" i="1" s="1"/>
  <c r="M944" i="1"/>
  <c r="O943" i="1" a="1"/>
  <c r="O943" i="1" s="1"/>
  <c r="M943" i="1"/>
  <c r="O942" i="1" a="1"/>
  <c r="O942" i="1" s="1"/>
  <c r="M942" i="1"/>
  <c r="O941" i="1" a="1"/>
  <c r="O941" i="1" s="1"/>
  <c r="M941" i="1"/>
  <c r="O940" i="1" a="1"/>
  <c r="O940" i="1" s="1"/>
  <c r="M940" i="1"/>
  <c r="O939" i="1" a="1"/>
  <c r="O939" i="1" s="1"/>
  <c r="M939" i="1"/>
  <c r="O938" i="1" a="1"/>
  <c r="O938" i="1" s="1"/>
  <c r="M938" i="1"/>
  <c r="O937" i="1" a="1"/>
  <c r="O937" i="1" s="1"/>
  <c r="M937" i="1"/>
  <c r="O936" i="1" a="1"/>
  <c r="O936" i="1" s="1"/>
  <c r="M936" i="1"/>
  <c r="O935" i="1" a="1"/>
  <c r="O935" i="1" s="1"/>
  <c r="M935" i="1"/>
  <c r="O934" i="1" a="1"/>
  <c r="O934" i="1" s="1"/>
  <c r="M934" i="1"/>
  <c r="O933" i="1" a="1"/>
  <c r="O933" i="1" s="1"/>
  <c r="M933" i="1"/>
  <c r="O932" i="1" a="1"/>
  <c r="O932" i="1" s="1"/>
  <c r="M932" i="1"/>
  <c r="O931" i="1" a="1"/>
  <c r="O931" i="1" s="1"/>
  <c r="M931" i="1"/>
  <c r="O930" i="1" a="1"/>
  <c r="O930" i="1" s="1"/>
  <c r="M930" i="1"/>
  <c r="O929" i="1" a="1"/>
  <c r="O929" i="1" s="1"/>
  <c r="M929" i="1"/>
  <c r="O928" i="1" a="1"/>
  <c r="O928" i="1" s="1"/>
  <c r="M928" i="1"/>
  <c r="O927" i="1" a="1"/>
  <c r="O927" i="1" s="1"/>
  <c r="M927" i="1"/>
  <c r="O926" i="1" a="1"/>
  <c r="O926" i="1" s="1"/>
  <c r="M926" i="1"/>
  <c r="O925" i="1" a="1"/>
  <c r="O925" i="1" s="1"/>
  <c r="M925" i="1"/>
  <c r="O924" i="1" a="1"/>
  <c r="O924" i="1" s="1"/>
  <c r="M924" i="1"/>
  <c r="O923" i="1" a="1"/>
  <c r="O923" i="1" s="1"/>
  <c r="M923" i="1"/>
  <c r="O922" i="1" a="1"/>
  <c r="O922" i="1" s="1"/>
  <c r="M922" i="1"/>
  <c r="O921" i="1" a="1"/>
  <c r="O921" i="1" s="1"/>
  <c r="M921" i="1"/>
  <c r="O920" i="1" a="1"/>
  <c r="O920" i="1" s="1"/>
  <c r="M920" i="1"/>
  <c r="O919" i="1" a="1"/>
  <c r="O919" i="1" s="1"/>
  <c r="M919" i="1"/>
  <c r="O918" i="1" a="1"/>
  <c r="O918" i="1" s="1"/>
  <c r="M918" i="1"/>
  <c r="O917" i="1" a="1"/>
  <c r="O917" i="1" s="1"/>
  <c r="M917" i="1"/>
  <c r="O916" i="1" a="1"/>
  <c r="O916" i="1" s="1"/>
  <c r="M916" i="1"/>
  <c r="O915" i="1" a="1"/>
  <c r="O915" i="1" s="1"/>
  <c r="M915" i="1"/>
  <c r="O914" i="1" a="1"/>
  <c r="O914" i="1" s="1"/>
  <c r="M914" i="1"/>
  <c r="O913" i="1" a="1"/>
  <c r="O913" i="1" s="1"/>
  <c r="M913" i="1"/>
  <c r="O912" i="1" a="1"/>
  <c r="O912" i="1" s="1"/>
  <c r="M912" i="1"/>
  <c r="O911" i="1" a="1"/>
  <c r="O911" i="1" s="1"/>
  <c r="M911" i="1"/>
  <c r="O910" i="1" a="1"/>
  <c r="O910" i="1" s="1"/>
  <c r="M910" i="1"/>
  <c r="O909" i="1" a="1"/>
  <c r="O909" i="1" s="1"/>
  <c r="M909" i="1"/>
  <c r="O908" i="1" a="1"/>
  <c r="O908" i="1" s="1"/>
  <c r="M908" i="1"/>
  <c r="O907" i="1" a="1"/>
  <c r="O907" i="1" s="1"/>
  <c r="M907" i="1"/>
  <c r="O906" i="1" a="1"/>
  <c r="O906" i="1" s="1"/>
  <c r="M906" i="1"/>
  <c r="O905" i="1" a="1"/>
  <c r="O905" i="1" s="1"/>
  <c r="M905" i="1"/>
  <c r="O904" i="1" a="1"/>
  <c r="O904" i="1" s="1"/>
  <c r="M904" i="1"/>
  <c r="O903" i="1" a="1"/>
  <c r="O903" i="1" s="1"/>
  <c r="M903" i="1"/>
  <c r="O902" i="1" a="1"/>
  <c r="O902" i="1" s="1"/>
  <c r="M902" i="1"/>
  <c r="O901" i="1" a="1"/>
  <c r="O901" i="1" s="1"/>
  <c r="M901" i="1"/>
  <c r="O900" i="1" a="1"/>
  <c r="O900" i="1" s="1"/>
  <c r="M900" i="1"/>
  <c r="O899" i="1" a="1"/>
  <c r="O899" i="1" s="1"/>
  <c r="M899" i="1"/>
  <c r="O898" i="1" a="1"/>
  <c r="O898" i="1" s="1"/>
  <c r="M898" i="1"/>
  <c r="O897" i="1" a="1"/>
  <c r="O897" i="1" s="1"/>
  <c r="M897" i="1"/>
  <c r="O896" i="1" a="1"/>
  <c r="O896" i="1" s="1"/>
  <c r="M896" i="1"/>
  <c r="O895" i="1" a="1"/>
  <c r="O895" i="1" s="1"/>
  <c r="M895" i="1"/>
  <c r="O894" i="1" a="1"/>
  <c r="O894" i="1" s="1"/>
  <c r="M894" i="1"/>
  <c r="O893" i="1" a="1"/>
  <c r="O893" i="1" s="1"/>
  <c r="M893" i="1"/>
  <c r="O892" i="1" a="1"/>
  <c r="O892" i="1" s="1"/>
  <c r="M892" i="1"/>
  <c r="O891" i="1" a="1"/>
  <c r="O891" i="1" s="1"/>
  <c r="M891" i="1"/>
  <c r="O890" i="1" a="1"/>
  <c r="O890" i="1" s="1"/>
  <c r="M890" i="1"/>
  <c r="O889" i="1" a="1"/>
  <c r="O889" i="1" s="1"/>
  <c r="M889" i="1"/>
  <c r="O888" i="1" a="1"/>
  <c r="O888" i="1" s="1"/>
  <c r="M888" i="1"/>
  <c r="O887" i="1" a="1"/>
  <c r="O887" i="1" s="1"/>
  <c r="M887" i="1"/>
  <c r="O886" i="1" a="1"/>
  <c r="O886" i="1" s="1"/>
  <c r="M886" i="1"/>
  <c r="O885" i="1" a="1"/>
  <c r="O885" i="1" s="1"/>
  <c r="M885" i="1"/>
  <c r="O884" i="1" a="1"/>
  <c r="O884" i="1" s="1"/>
  <c r="M884" i="1"/>
  <c r="O883" i="1" a="1"/>
  <c r="O883" i="1" s="1"/>
  <c r="M883" i="1"/>
  <c r="O882" i="1" a="1"/>
  <c r="O882" i="1" s="1"/>
  <c r="M882" i="1"/>
  <c r="O881" i="1" a="1"/>
  <c r="O881" i="1" s="1"/>
  <c r="M881" i="1"/>
  <c r="O880" i="1" a="1"/>
  <c r="O880" i="1" s="1"/>
  <c r="M880" i="1"/>
  <c r="O879" i="1" a="1"/>
  <c r="O879" i="1" s="1"/>
  <c r="M879" i="1"/>
  <c r="O878" i="1" a="1"/>
  <c r="O878" i="1" s="1"/>
  <c r="M878" i="1"/>
  <c r="O877" i="1" a="1"/>
  <c r="O877" i="1" s="1"/>
  <c r="M877" i="1"/>
  <c r="O876" i="1" a="1"/>
  <c r="O876" i="1" s="1"/>
  <c r="M876" i="1"/>
  <c r="O875" i="1" a="1"/>
  <c r="O875" i="1" s="1"/>
  <c r="M875" i="1"/>
  <c r="O874" i="1" a="1"/>
  <c r="O874" i="1" s="1"/>
  <c r="M874" i="1"/>
  <c r="O873" i="1" a="1"/>
  <c r="O873" i="1" s="1"/>
  <c r="M873" i="1"/>
  <c r="O872" i="1" a="1"/>
  <c r="O872" i="1" s="1"/>
  <c r="M872" i="1"/>
  <c r="O871" i="1" a="1"/>
  <c r="O871" i="1" s="1"/>
  <c r="M871" i="1"/>
  <c r="O870" i="1" a="1"/>
  <c r="O870" i="1" s="1"/>
  <c r="M870" i="1"/>
  <c r="O869" i="1" a="1"/>
  <c r="O869" i="1" s="1"/>
  <c r="M869" i="1"/>
  <c r="O868" i="1" a="1"/>
  <c r="O868" i="1" s="1"/>
  <c r="M868" i="1"/>
  <c r="O867" i="1" a="1"/>
  <c r="O867" i="1" s="1"/>
  <c r="M867" i="1"/>
  <c r="O866" i="1" a="1"/>
  <c r="O866" i="1" s="1"/>
  <c r="M866" i="1"/>
  <c r="O865" i="1" a="1"/>
  <c r="O865" i="1" s="1"/>
  <c r="M865" i="1"/>
  <c r="O864" i="1" a="1"/>
  <c r="O864" i="1" s="1"/>
  <c r="M864" i="1"/>
  <c r="O863" i="1" a="1"/>
  <c r="O863" i="1" s="1"/>
  <c r="M863" i="1"/>
  <c r="O862" i="1" a="1"/>
  <c r="O862" i="1" s="1"/>
  <c r="M862" i="1"/>
  <c r="O861" i="1" a="1"/>
  <c r="O861" i="1" s="1"/>
  <c r="M861" i="1"/>
  <c r="O860" i="1" a="1"/>
  <c r="O860" i="1" s="1"/>
  <c r="M860" i="1"/>
  <c r="O859" i="1" a="1"/>
  <c r="O859" i="1" s="1"/>
  <c r="M859" i="1"/>
  <c r="O858" i="1" a="1"/>
  <c r="O858" i="1" s="1"/>
  <c r="M858" i="1"/>
  <c r="O857" i="1" a="1"/>
  <c r="O857" i="1" s="1"/>
  <c r="M857" i="1"/>
  <c r="O856" i="1" a="1"/>
  <c r="O856" i="1" s="1"/>
  <c r="M856" i="1"/>
  <c r="O855" i="1" a="1"/>
  <c r="O855" i="1" s="1"/>
  <c r="M855" i="1"/>
  <c r="O854" i="1" a="1"/>
  <c r="O854" i="1" s="1"/>
  <c r="M854" i="1"/>
  <c r="O853" i="1" a="1"/>
  <c r="O853" i="1" s="1"/>
  <c r="M853" i="1"/>
  <c r="O852" i="1" a="1"/>
  <c r="O852" i="1" s="1"/>
  <c r="M852" i="1"/>
  <c r="O851" i="1" a="1"/>
  <c r="O851" i="1" s="1"/>
  <c r="M851" i="1"/>
  <c r="O850" i="1" a="1"/>
  <c r="O850" i="1" s="1"/>
  <c r="M850" i="1"/>
  <c r="O849" i="1" a="1"/>
  <c r="O849" i="1" s="1"/>
  <c r="M849" i="1"/>
  <c r="O848" i="1" a="1"/>
  <c r="O848" i="1" s="1"/>
  <c r="M848" i="1"/>
  <c r="O847" i="1" a="1"/>
  <c r="O847" i="1" s="1"/>
  <c r="M847" i="1"/>
  <c r="O846" i="1" a="1"/>
  <c r="O846" i="1" s="1"/>
  <c r="M846" i="1"/>
  <c r="O845" i="1" a="1"/>
  <c r="O845" i="1" s="1"/>
  <c r="M845" i="1"/>
  <c r="O844" i="1" a="1"/>
  <c r="O844" i="1" s="1"/>
  <c r="M844" i="1"/>
  <c r="O843" i="1" a="1"/>
  <c r="O843" i="1" s="1"/>
  <c r="M843" i="1"/>
  <c r="O842" i="1" a="1"/>
  <c r="O842" i="1" s="1"/>
  <c r="M842" i="1"/>
  <c r="O841" i="1" a="1"/>
  <c r="O841" i="1" s="1"/>
  <c r="M841" i="1"/>
  <c r="O840" i="1" a="1"/>
  <c r="O840" i="1" s="1"/>
  <c r="M840" i="1"/>
  <c r="O839" i="1" a="1"/>
  <c r="O839" i="1" s="1"/>
  <c r="M839" i="1"/>
  <c r="O838" i="1" a="1"/>
  <c r="O838" i="1" s="1"/>
  <c r="M838" i="1"/>
  <c r="O837" i="1" a="1"/>
  <c r="O837" i="1" s="1"/>
  <c r="M837" i="1"/>
  <c r="O836" i="1" a="1"/>
  <c r="O836" i="1" s="1"/>
  <c r="M836" i="1"/>
  <c r="O835" i="1" a="1"/>
  <c r="O835" i="1" s="1"/>
  <c r="M835" i="1"/>
  <c r="O834" i="1" a="1"/>
  <c r="O834" i="1" s="1"/>
  <c r="M834" i="1"/>
  <c r="O833" i="1" a="1"/>
  <c r="O833" i="1" s="1"/>
  <c r="M833" i="1"/>
  <c r="O832" i="1" a="1"/>
  <c r="O832" i="1" s="1"/>
  <c r="M832" i="1"/>
  <c r="O831" i="1" a="1"/>
  <c r="O831" i="1" s="1"/>
  <c r="M831" i="1"/>
  <c r="O830" i="1" a="1"/>
  <c r="O830" i="1" s="1"/>
  <c r="M830" i="1"/>
  <c r="O829" i="1" a="1"/>
  <c r="O829" i="1" s="1"/>
  <c r="M829" i="1"/>
  <c r="O828" i="1" a="1"/>
  <c r="O828" i="1" s="1"/>
  <c r="M828" i="1"/>
  <c r="O827" i="1" a="1"/>
  <c r="O827" i="1" s="1"/>
  <c r="M827" i="1"/>
  <c r="O826" i="1" a="1"/>
  <c r="O826" i="1" s="1"/>
  <c r="M826" i="1"/>
  <c r="O825" i="1" a="1"/>
  <c r="O825" i="1" s="1"/>
  <c r="M825" i="1"/>
  <c r="O824" i="1" a="1"/>
  <c r="O824" i="1" s="1"/>
  <c r="M824" i="1"/>
  <c r="O823" i="1" a="1"/>
  <c r="O823" i="1" s="1"/>
  <c r="M823" i="1"/>
  <c r="O822" i="1" a="1"/>
  <c r="O822" i="1" s="1"/>
  <c r="M822" i="1"/>
  <c r="O821" i="1" a="1"/>
  <c r="O821" i="1" s="1"/>
  <c r="M821" i="1"/>
  <c r="O820" i="1" a="1"/>
  <c r="O820" i="1" s="1"/>
  <c r="M820" i="1"/>
  <c r="O819" i="1" a="1"/>
  <c r="O819" i="1" s="1"/>
  <c r="M819" i="1"/>
  <c r="O818" i="1" a="1"/>
  <c r="O818" i="1" s="1"/>
  <c r="M818" i="1"/>
  <c r="O817" i="1" a="1"/>
  <c r="O817" i="1" s="1"/>
  <c r="M817" i="1"/>
  <c r="O816" i="1" a="1"/>
  <c r="O816" i="1" s="1"/>
  <c r="M816" i="1"/>
  <c r="O815" i="1" a="1"/>
  <c r="O815" i="1" s="1"/>
  <c r="M815" i="1"/>
  <c r="O814" i="1" a="1"/>
  <c r="O814" i="1" s="1"/>
  <c r="M814" i="1"/>
  <c r="O813" i="1" a="1"/>
  <c r="O813" i="1" s="1"/>
  <c r="M813" i="1"/>
  <c r="O812" i="1" a="1"/>
  <c r="O812" i="1" s="1"/>
  <c r="M812" i="1"/>
  <c r="O811" i="1" a="1"/>
  <c r="O811" i="1" s="1"/>
  <c r="M811" i="1"/>
  <c r="O810" i="1" a="1"/>
  <c r="O810" i="1" s="1"/>
  <c r="M810" i="1"/>
  <c r="O809" i="1" a="1"/>
  <c r="O809" i="1" s="1"/>
  <c r="M809" i="1"/>
  <c r="O808" i="1" a="1"/>
  <c r="O808" i="1" s="1"/>
  <c r="M808" i="1"/>
  <c r="O807" i="1" a="1"/>
  <c r="O807" i="1" s="1"/>
  <c r="M807" i="1"/>
  <c r="O806" i="1" a="1"/>
  <c r="O806" i="1" s="1"/>
  <c r="M806" i="1"/>
  <c r="O805" i="1" a="1"/>
  <c r="O805" i="1" s="1"/>
  <c r="M805" i="1"/>
  <c r="O804" i="1" a="1"/>
  <c r="O804" i="1" s="1"/>
  <c r="M804" i="1"/>
  <c r="O803" i="1" a="1"/>
  <c r="O803" i="1" s="1"/>
  <c r="M803" i="1"/>
  <c r="O802" i="1" a="1"/>
  <c r="O802" i="1" s="1"/>
  <c r="M802" i="1"/>
  <c r="O801" i="1" a="1"/>
  <c r="O801" i="1" s="1"/>
  <c r="M801" i="1"/>
  <c r="O800" i="1" a="1"/>
  <c r="O800" i="1" s="1"/>
  <c r="M800" i="1"/>
  <c r="O799" i="1" a="1"/>
  <c r="O799" i="1" s="1"/>
  <c r="M799" i="1"/>
  <c r="O798" i="1" a="1"/>
  <c r="O798" i="1" s="1"/>
  <c r="M798" i="1"/>
  <c r="O797" i="1" a="1"/>
  <c r="O797" i="1" s="1"/>
  <c r="M797" i="1"/>
  <c r="O796" i="1" a="1"/>
  <c r="O796" i="1" s="1"/>
  <c r="M796" i="1"/>
  <c r="O795" i="1" a="1"/>
  <c r="O795" i="1" s="1"/>
  <c r="M795" i="1"/>
  <c r="O794" i="1" a="1"/>
  <c r="O794" i="1" s="1"/>
  <c r="M794" i="1"/>
  <c r="O793" i="1" a="1"/>
  <c r="O793" i="1" s="1"/>
  <c r="M793" i="1"/>
  <c r="O792" i="1" a="1"/>
  <c r="O792" i="1" s="1"/>
  <c r="M792" i="1"/>
  <c r="O791" i="1" a="1"/>
  <c r="O791" i="1" s="1"/>
  <c r="M791" i="1"/>
  <c r="O790" i="1" a="1"/>
  <c r="O790" i="1" s="1"/>
  <c r="M790" i="1"/>
  <c r="O789" i="1" a="1"/>
  <c r="O789" i="1" s="1"/>
  <c r="M789" i="1"/>
  <c r="O788" i="1" a="1"/>
  <c r="O788" i="1" s="1"/>
  <c r="M788" i="1"/>
  <c r="O787" i="1" a="1"/>
  <c r="O787" i="1" s="1"/>
  <c r="M787" i="1"/>
  <c r="O786" i="1" a="1"/>
  <c r="O786" i="1" s="1"/>
  <c r="M786" i="1"/>
  <c r="O785" i="1" a="1"/>
  <c r="O785" i="1" s="1"/>
  <c r="M785" i="1"/>
  <c r="O784" i="1" a="1"/>
  <c r="O784" i="1" s="1"/>
  <c r="M784" i="1"/>
  <c r="O783" i="1" a="1"/>
  <c r="O783" i="1" s="1"/>
  <c r="M783" i="1"/>
  <c r="O782" i="1" a="1"/>
  <c r="O782" i="1" s="1"/>
  <c r="M782" i="1"/>
  <c r="O781" i="1" a="1"/>
  <c r="O781" i="1" s="1"/>
  <c r="M781" i="1"/>
  <c r="O780" i="1" a="1"/>
  <c r="O780" i="1" s="1"/>
  <c r="M780" i="1"/>
  <c r="O779" i="1" a="1"/>
  <c r="O779" i="1" s="1"/>
  <c r="M779" i="1"/>
  <c r="O778" i="1" a="1"/>
  <c r="O778" i="1" s="1"/>
  <c r="M778" i="1"/>
  <c r="O777" i="1" a="1"/>
  <c r="O777" i="1" s="1"/>
  <c r="M777" i="1"/>
  <c r="O776" i="1" a="1"/>
  <c r="O776" i="1" s="1"/>
  <c r="M776" i="1"/>
  <c r="O775" i="1" a="1"/>
  <c r="O775" i="1" s="1"/>
  <c r="M775" i="1"/>
  <c r="O774" i="1" a="1"/>
  <c r="O774" i="1" s="1"/>
  <c r="M774" i="1"/>
  <c r="O773" i="1" a="1"/>
  <c r="O773" i="1" s="1"/>
  <c r="M773" i="1"/>
  <c r="O772" i="1" a="1"/>
  <c r="O772" i="1" s="1"/>
  <c r="M772" i="1"/>
  <c r="O771" i="1" a="1"/>
  <c r="O771" i="1" s="1"/>
  <c r="M771" i="1"/>
  <c r="O770" i="1" a="1"/>
  <c r="O770" i="1" s="1"/>
  <c r="M770" i="1"/>
  <c r="O769" i="1" a="1"/>
  <c r="O769" i="1" s="1"/>
  <c r="M769" i="1"/>
  <c r="O768" i="1" a="1"/>
  <c r="O768" i="1" s="1"/>
  <c r="M768" i="1"/>
  <c r="O767" i="1" a="1"/>
  <c r="O767" i="1" s="1"/>
  <c r="M767" i="1"/>
  <c r="O766" i="1" a="1"/>
  <c r="O766" i="1" s="1"/>
  <c r="M766" i="1"/>
  <c r="O765" i="1" a="1"/>
  <c r="O765" i="1" s="1"/>
  <c r="M765" i="1"/>
  <c r="O764" i="1" a="1"/>
  <c r="O764" i="1" s="1"/>
  <c r="M764" i="1"/>
  <c r="O763" i="1" a="1"/>
  <c r="O763" i="1" s="1"/>
  <c r="M763" i="1"/>
  <c r="O762" i="1" a="1"/>
  <c r="O762" i="1" s="1"/>
  <c r="M762" i="1"/>
  <c r="O761" i="1" a="1"/>
  <c r="O761" i="1" s="1"/>
  <c r="M761" i="1"/>
  <c r="O760" i="1" a="1"/>
  <c r="O760" i="1" s="1"/>
  <c r="M760" i="1"/>
  <c r="O759" i="1" a="1"/>
  <c r="O759" i="1" s="1"/>
  <c r="M759" i="1"/>
  <c r="O758" i="1" a="1"/>
  <c r="O758" i="1" s="1"/>
  <c r="M758" i="1"/>
  <c r="O757" i="1" a="1"/>
  <c r="O757" i="1" s="1"/>
  <c r="M757" i="1"/>
  <c r="O756" i="1" a="1"/>
  <c r="O756" i="1" s="1"/>
  <c r="M756" i="1"/>
  <c r="O755" i="1" a="1"/>
  <c r="O755" i="1" s="1"/>
  <c r="M755" i="1"/>
  <c r="O754" i="1" a="1"/>
  <c r="O754" i="1" s="1"/>
  <c r="M754" i="1"/>
  <c r="O753" i="1" a="1"/>
  <c r="O753" i="1" s="1"/>
  <c r="M753" i="1"/>
  <c r="O752" i="1" a="1"/>
  <c r="O752" i="1" s="1"/>
  <c r="M752" i="1"/>
  <c r="O751" i="1" a="1"/>
  <c r="O751" i="1" s="1"/>
  <c r="M751" i="1"/>
  <c r="O750" i="1" a="1"/>
  <c r="O750" i="1" s="1"/>
  <c r="M750" i="1"/>
  <c r="O749" i="1" a="1"/>
  <c r="O749" i="1" s="1"/>
  <c r="M749" i="1"/>
  <c r="O748" i="1" a="1"/>
  <c r="O748" i="1" s="1"/>
  <c r="M748" i="1"/>
  <c r="O747" i="1" a="1"/>
  <c r="O747" i="1" s="1"/>
  <c r="M747" i="1"/>
  <c r="O746" i="1" a="1"/>
  <c r="O746" i="1" s="1"/>
  <c r="M746" i="1"/>
  <c r="O745" i="1" a="1"/>
  <c r="O745" i="1" s="1"/>
  <c r="M745" i="1"/>
  <c r="O744" i="1" a="1"/>
  <c r="O744" i="1" s="1"/>
  <c r="M744" i="1"/>
  <c r="O743" i="1" a="1"/>
  <c r="O743" i="1" s="1"/>
  <c r="M743" i="1"/>
  <c r="O742" i="1" a="1"/>
  <c r="O742" i="1" s="1"/>
  <c r="M742" i="1"/>
  <c r="O741" i="1" a="1"/>
  <c r="O741" i="1" s="1"/>
  <c r="M741" i="1"/>
  <c r="O740" i="1" a="1"/>
  <c r="O740" i="1" s="1"/>
  <c r="M740" i="1"/>
  <c r="O739" i="1" a="1"/>
  <c r="O739" i="1" s="1"/>
  <c r="M739" i="1"/>
  <c r="O738" i="1" a="1"/>
  <c r="O738" i="1" s="1"/>
  <c r="M738" i="1"/>
  <c r="O737" i="1" a="1"/>
  <c r="O737" i="1" s="1"/>
  <c r="M737" i="1"/>
  <c r="O736" i="1" a="1"/>
  <c r="O736" i="1" s="1"/>
  <c r="M736" i="1"/>
  <c r="O735" i="1" a="1"/>
  <c r="O735" i="1" s="1"/>
  <c r="M735" i="1"/>
  <c r="O734" i="1" a="1"/>
  <c r="O734" i="1" s="1"/>
  <c r="M734" i="1"/>
  <c r="O733" i="1" a="1"/>
  <c r="O733" i="1" s="1"/>
  <c r="M733" i="1"/>
  <c r="O732" i="1" a="1"/>
  <c r="O732" i="1" s="1"/>
  <c r="M732" i="1"/>
  <c r="O731" i="1" a="1"/>
  <c r="O731" i="1" s="1"/>
  <c r="M731" i="1"/>
  <c r="O730" i="1" a="1"/>
  <c r="O730" i="1" s="1"/>
  <c r="M730" i="1"/>
  <c r="O729" i="1" a="1"/>
  <c r="O729" i="1" s="1"/>
  <c r="M729" i="1"/>
  <c r="O728" i="1" a="1"/>
  <c r="O728" i="1" s="1"/>
  <c r="M728" i="1"/>
  <c r="O727" i="1" a="1"/>
  <c r="O727" i="1" s="1"/>
  <c r="M727" i="1"/>
  <c r="O726" i="1" a="1"/>
  <c r="O726" i="1" s="1"/>
  <c r="M726" i="1"/>
  <c r="O725" i="1" a="1"/>
  <c r="O725" i="1" s="1"/>
  <c r="M725" i="1"/>
  <c r="O724" i="1" a="1"/>
  <c r="O724" i="1" s="1"/>
  <c r="M724" i="1"/>
  <c r="O723" i="1" a="1"/>
  <c r="O723" i="1" s="1"/>
  <c r="M723" i="1"/>
  <c r="O722" i="1" a="1"/>
  <c r="O722" i="1" s="1"/>
  <c r="M722" i="1"/>
  <c r="O721" i="1" a="1"/>
  <c r="O721" i="1" s="1"/>
  <c r="M721" i="1"/>
  <c r="O720" i="1" a="1"/>
  <c r="O720" i="1" s="1"/>
  <c r="M720" i="1"/>
  <c r="O719" i="1" a="1"/>
  <c r="O719" i="1" s="1"/>
  <c r="M719" i="1"/>
  <c r="O718" i="1" a="1"/>
  <c r="O718" i="1" s="1"/>
  <c r="M718" i="1"/>
  <c r="O717" i="1" a="1"/>
  <c r="O717" i="1" s="1"/>
  <c r="M717" i="1"/>
  <c r="O716" i="1" a="1"/>
  <c r="O716" i="1" s="1"/>
  <c r="M716" i="1"/>
  <c r="O715" i="1" a="1"/>
  <c r="O715" i="1" s="1"/>
  <c r="M715" i="1"/>
  <c r="O714" i="1" a="1"/>
  <c r="O714" i="1" s="1"/>
  <c r="M714" i="1"/>
  <c r="O713" i="1" a="1"/>
  <c r="O713" i="1" s="1"/>
  <c r="M713" i="1"/>
  <c r="O712" i="1" a="1"/>
  <c r="O712" i="1" s="1"/>
  <c r="M712" i="1"/>
  <c r="O711" i="1" a="1"/>
  <c r="O711" i="1" s="1"/>
  <c r="M711" i="1"/>
  <c r="O710" i="1" a="1"/>
  <c r="O710" i="1" s="1"/>
  <c r="M710" i="1"/>
  <c r="O709" i="1" a="1"/>
  <c r="O709" i="1" s="1"/>
  <c r="M709" i="1"/>
  <c r="O708" i="1" a="1"/>
  <c r="O708" i="1" s="1"/>
  <c r="M708" i="1"/>
  <c r="O707" i="1" a="1"/>
  <c r="O707" i="1" s="1"/>
  <c r="M707" i="1"/>
  <c r="O706" i="1" a="1"/>
  <c r="O706" i="1" s="1"/>
  <c r="M706" i="1"/>
  <c r="O705" i="1" a="1"/>
  <c r="O705" i="1" s="1"/>
  <c r="M705" i="1"/>
  <c r="O704" i="1" a="1"/>
  <c r="O704" i="1" s="1"/>
  <c r="M704" i="1"/>
  <c r="O703" i="1" a="1"/>
  <c r="O703" i="1" s="1"/>
  <c r="M703" i="1"/>
  <c r="O702" i="1" a="1"/>
  <c r="O702" i="1" s="1"/>
  <c r="M702" i="1"/>
  <c r="O701" i="1" a="1"/>
  <c r="O701" i="1" s="1"/>
  <c r="M701" i="1"/>
  <c r="O700" i="1" a="1"/>
  <c r="O700" i="1" s="1"/>
  <c r="M700" i="1"/>
  <c r="O699" i="1" a="1"/>
  <c r="O699" i="1" s="1"/>
  <c r="M699" i="1"/>
  <c r="O698" i="1" a="1"/>
  <c r="O698" i="1" s="1"/>
  <c r="M698" i="1"/>
  <c r="O697" i="1" a="1"/>
  <c r="O697" i="1" s="1"/>
  <c r="M697" i="1"/>
  <c r="O696" i="1" a="1"/>
  <c r="O696" i="1" s="1"/>
  <c r="M696" i="1"/>
  <c r="O695" i="1" a="1"/>
  <c r="O695" i="1" s="1"/>
  <c r="M695" i="1"/>
  <c r="O694" i="1" a="1"/>
  <c r="O694" i="1" s="1"/>
  <c r="M694" i="1"/>
  <c r="O693" i="1" a="1"/>
  <c r="O693" i="1" s="1"/>
  <c r="M693" i="1"/>
  <c r="O692" i="1" a="1"/>
  <c r="O692" i="1" s="1"/>
  <c r="M692" i="1"/>
  <c r="O691" i="1" a="1"/>
  <c r="O691" i="1" s="1"/>
  <c r="M691" i="1"/>
  <c r="O690" i="1" a="1"/>
  <c r="O690" i="1" s="1"/>
  <c r="M690" i="1"/>
  <c r="O689" i="1" a="1"/>
  <c r="O689" i="1" s="1"/>
  <c r="M689" i="1"/>
  <c r="O688" i="1" a="1"/>
  <c r="O688" i="1" s="1"/>
  <c r="M688" i="1"/>
  <c r="O687" i="1" a="1"/>
  <c r="O687" i="1" s="1"/>
  <c r="M687" i="1"/>
  <c r="O686" i="1" a="1"/>
  <c r="O686" i="1" s="1"/>
  <c r="M686" i="1"/>
  <c r="O685" i="1" a="1"/>
  <c r="O685" i="1" s="1"/>
  <c r="M685" i="1"/>
  <c r="O684" i="1" a="1"/>
  <c r="O684" i="1" s="1"/>
  <c r="M684" i="1"/>
  <c r="O683" i="1" a="1"/>
  <c r="O683" i="1" s="1"/>
  <c r="M683" i="1"/>
  <c r="O682" i="1" a="1"/>
  <c r="O682" i="1" s="1"/>
  <c r="M682" i="1"/>
  <c r="O681" i="1" a="1"/>
  <c r="O681" i="1" s="1"/>
  <c r="M681" i="1"/>
  <c r="O680" i="1" a="1"/>
  <c r="O680" i="1" s="1"/>
  <c r="M680" i="1"/>
  <c r="O679" i="1" a="1"/>
  <c r="O679" i="1" s="1"/>
  <c r="M679" i="1"/>
  <c r="O678" i="1" a="1"/>
  <c r="O678" i="1" s="1"/>
  <c r="M678" i="1"/>
  <c r="O677" i="1" a="1"/>
  <c r="O677" i="1" s="1"/>
  <c r="M677" i="1"/>
  <c r="O676" i="1" a="1"/>
  <c r="O676" i="1" s="1"/>
  <c r="M676" i="1"/>
  <c r="O675" i="1" a="1"/>
  <c r="O675" i="1" s="1"/>
  <c r="M675" i="1"/>
  <c r="O674" i="1" a="1"/>
  <c r="O674" i="1" s="1"/>
  <c r="M674" i="1"/>
  <c r="O673" i="1" a="1"/>
  <c r="O673" i="1" s="1"/>
  <c r="M673" i="1"/>
  <c r="O672" i="1" a="1"/>
  <c r="O672" i="1" s="1"/>
  <c r="M672" i="1"/>
  <c r="O671" i="1" a="1"/>
  <c r="O671" i="1" s="1"/>
  <c r="M671" i="1"/>
  <c r="O670" i="1" a="1"/>
  <c r="O670" i="1" s="1"/>
  <c r="M670" i="1"/>
  <c r="O669" i="1" a="1"/>
  <c r="O669" i="1" s="1"/>
  <c r="M669" i="1"/>
  <c r="O668" i="1" a="1"/>
  <c r="O668" i="1" s="1"/>
  <c r="M668" i="1"/>
  <c r="O667" i="1" a="1"/>
  <c r="O667" i="1" s="1"/>
  <c r="M667" i="1"/>
  <c r="O666" i="1" a="1"/>
  <c r="O666" i="1" s="1"/>
  <c r="M666" i="1"/>
  <c r="O665" i="1" a="1"/>
  <c r="O665" i="1" s="1"/>
  <c r="M665" i="1"/>
  <c r="O664" i="1" a="1"/>
  <c r="O664" i="1" s="1"/>
  <c r="M664" i="1"/>
  <c r="O663" i="1" a="1"/>
  <c r="O663" i="1" s="1"/>
  <c r="M663" i="1"/>
  <c r="O662" i="1" a="1"/>
  <c r="O662" i="1" s="1"/>
  <c r="M662" i="1"/>
  <c r="O661" i="1" a="1"/>
  <c r="O661" i="1" s="1"/>
  <c r="M661" i="1"/>
  <c r="O660" i="1" a="1"/>
  <c r="O660" i="1" s="1"/>
  <c r="M660" i="1"/>
  <c r="O659" i="1" a="1"/>
  <c r="O659" i="1" s="1"/>
  <c r="M659" i="1"/>
  <c r="O658" i="1" a="1"/>
  <c r="O658" i="1" s="1"/>
  <c r="M658" i="1"/>
  <c r="O657" i="1" a="1"/>
  <c r="O657" i="1" s="1"/>
  <c r="M657" i="1"/>
  <c r="O656" i="1" a="1"/>
  <c r="O656" i="1" s="1"/>
  <c r="M656" i="1"/>
  <c r="O655" i="1" a="1"/>
  <c r="O655" i="1" s="1"/>
  <c r="M655" i="1"/>
  <c r="O654" i="1" a="1"/>
  <c r="O654" i="1" s="1"/>
  <c r="M654" i="1"/>
  <c r="O653" i="1" a="1"/>
  <c r="O653" i="1" s="1"/>
  <c r="M653" i="1"/>
  <c r="O652" i="1" a="1"/>
  <c r="O652" i="1" s="1"/>
  <c r="M652" i="1"/>
  <c r="O651" i="1" a="1"/>
  <c r="O651" i="1" s="1"/>
  <c r="M651" i="1"/>
  <c r="O650" i="1" a="1"/>
  <c r="O650" i="1" s="1"/>
  <c r="M650" i="1"/>
  <c r="O649" i="1" a="1"/>
  <c r="O649" i="1" s="1"/>
  <c r="M649" i="1"/>
  <c r="O648" i="1" a="1"/>
  <c r="O648" i="1" s="1"/>
  <c r="M648" i="1"/>
  <c r="O647" i="1" a="1"/>
  <c r="O647" i="1" s="1"/>
  <c r="M647" i="1"/>
  <c r="O646" i="1" a="1"/>
  <c r="O646" i="1" s="1"/>
  <c r="M646" i="1"/>
  <c r="O645" i="1" a="1"/>
  <c r="O645" i="1" s="1"/>
  <c r="M645" i="1"/>
  <c r="O644" i="1" a="1"/>
  <c r="O644" i="1" s="1"/>
  <c r="M644" i="1"/>
  <c r="O643" i="1" a="1"/>
  <c r="O643" i="1" s="1"/>
  <c r="M643" i="1"/>
  <c r="O642" i="1" a="1"/>
  <c r="O642" i="1" s="1"/>
  <c r="M642" i="1"/>
  <c r="O641" i="1" a="1"/>
  <c r="O641" i="1" s="1"/>
  <c r="M641" i="1"/>
  <c r="O640" i="1" a="1"/>
  <c r="O640" i="1" s="1"/>
  <c r="M640" i="1"/>
  <c r="O639" i="1" a="1"/>
  <c r="O639" i="1" s="1"/>
  <c r="M639" i="1"/>
  <c r="O638" i="1" a="1"/>
  <c r="O638" i="1" s="1"/>
  <c r="M638" i="1"/>
  <c r="O637" i="1" a="1"/>
  <c r="O637" i="1" s="1"/>
  <c r="M637" i="1"/>
  <c r="O636" i="1" a="1"/>
  <c r="O636" i="1" s="1"/>
  <c r="M636" i="1"/>
  <c r="O635" i="1" a="1"/>
  <c r="O635" i="1" s="1"/>
  <c r="M635" i="1"/>
  <c r="O634" i="1" a="1"/>
  <c r="O634" i="1" s="1"/>
  <c r="M634" i="1"/>
  <c r="O633" i="1" a="1"/>
  <c r="O633" i="1" s="1"/>
  <c r="M633" i="1"/>
  <c r="O632" i="1" a="1"/>
  <c r="O632" i="1" s="1"/>
  <c r="M632" i="1"/>
  <c r="O631" i="1" a="1"/>
  <c r="O631" i="1" s="1"/>
  <c r="M631" i="1"/>
  <c r="O630" i="1" a="1"/>
  <c r="O630" i="1" s="1"/>
  <c r="M630" i="1"/>
  <c r="O629" i="1" a="1"/>
  <c r="O629" i="1" s="1"/>
  <c r="M629" i="1"/>
  <c r="O628" i="1" a="1"/>
  <c r="O628" i="1" s="1"/>
  <c r="M628" i="1"/>
  <c r="O627" i="1" a="1"/>
  <c r="O627" i="1" s="1"/>
  <c r="M627" i="1"/>
  <c r="O626" i="1" a="1"/>
  <c r="O626" i="1" s="1"/>
  <c r="M626" i="1"/>
  <c r="O625" i="1" a="1"/>
  <c r="O625" i="1" s="1"/>
  <c r="M625" i="1"/>
  <c r="O624" i="1" a="1"/>
  <c r="O624" i="1" s="1"/>
  <c r="M624" i="1"/>
  <c r="O623" i="1" a="1"/>
  <c r="O623" i="1" s="1"/>
  <c r="M623" i="1"/>
  <c r="O622" i="1" a="1"/>
  <c r="O622" i="1" s="1"/>
  <c r="M622" i="1"/>
  <c r="O621" i="1" a="1"/>
  <c r="O621" i="1" s="1"/>
  <c r="M621" i="1"/>
  <c r="O620" i="1" a="1"/>
  <c r="O620" i="1" s="1"/>
  <c r="M620" i="1"/>
  <c r="O619" i="1" a="1"/>
  <c r="O619" i="1" s="1"/>
  <c r="M619" i="1"/>
  <c r="O618" i="1" a="1"/>
  <c r="O618" i="1" s="1"/>
  <c r="M618" i="1"/>
  <c r="O617" i="1" a="1"/>
  <c r="O617" i="1" s="1"/>
  <c r="M617" i="1"/>
  <c r="O616" i="1" a="1"/>
  <c r="O616" i="1" s="1"/>
  <c r="M616" i="1"/>
  <c r="O615" i="1" a="1"/>
  <c r="O615" i="1" s="1"/>
  <c r="M615" i="1"/>
  <c r="O614" i="1" a="1"/>
  <c r="O614" i="1" s="1"/>
  <c r="M614" i="1"/>
  <c r="O613" i="1" a="1"/>
  <c r="O613" i="1" s="1"/>
  <c r="M613" i="1"/>
  <c r="O612" i="1" a="1"/>
  <c r="O612" i="1" s="1"/>
  <c r="M612" i="1"/>
  <c r="O611" i="1" a="1"/>
  <c r="O611" i="1" s="1"/>
  <c r="M611" i="1"/>
  <c r="O610" i="1" a="1"/>
  <c r="O610" i="1" s="1"/>
  <c r="M610" i="1"/>
  <c r="O609" i="1" a="1"/>
  <c r="O609" i="1" s="1"/>
  <c r="M609" i="1"/>
  <c r="O608" i="1" a="1"/>
  <c r="O608" i="1" s="1"/>
  <c r="M608" i="1"/>
  <c r="O607" i="1" a="1"/>
  <c r="O607" i="1" s="1"/>
  <c r="M607" i="1"/>
  <c r="O606" i="1" a="1"/>
  <c r="O606" i="1" s="1"/>
  <c r="M606" i="1"/>
  <c r="O605" i="1" a="1"/>
  <c r="O605" i="1" s="1"/>
  <c r="M605" i="1"/>
  <c r="O604" i="1" a="1"/>
  <c r="O604" i="1" s="1"/>
  <c r="M604" i="1"/>
  <c r="O603" i="1" a="1"/>
  <c r="O603" i="1" s="1"/>
  <c r="M603" i="1"/>
  <c r="O602" i="1" a="1"/>
  <c r="O602" i="1" s="1"/>
  <c r="M602" i="1"/>
  <c r="O601" i="1" a="1"/>
  <c r="O601" i="1" s="1"/>
  <c r="M601" i="1"/>
  <c r="O600" i="1" a="1"/>
  <c r="O600" i="1" s="1"/>
  <c r="M600" i="1"/>
  <c r="O599" i="1" a="1"/>
  <c r="O599" i="1" s="1"/>
  <c r="M599" i="1"/>
  <c r="O598" i="1" a="1"/>
  <c r="O598" i="1" s="1"/>
  <c r="M598" i="1"/>
  <c r="O597" i="1" a="1"/>
  <c r="O597" i="1" s="1"/>
  <c r="M597" i="1"/>
  <c r="O596" i="1" a="1"/>
  <c r="O596" i="1" s="1"/>
  <c r="M596" i="1"/>
  <c r="O595" i="1" a="1"/>
  <c r="O595" i="1" s="1"/>
  <c r="M595" i="1"/>
  <c r="O594" i="1" a="1"/>
  <c r="O594" i="1" s="1"/>
  <c r="M594" i="1"/>
  <c r="O593" i="1" a="1"/>
  <c r="O593" i="1" s="1"/>
  <c r="M593" i="1"/>
  <c r="O592" i="1" a="1"/>
  <c r="O592" i="1" s="1"/>
  <c r="M592" i="1"/>
  <c r="O591" i="1" a="1"/>
  <c r="O591" i="1" s="1"/>
  <c r="M591" i="1"/>
  <c r="O590" i="1" a="1"/>
  <c r="O590" i="1" s="1"/>
  <c r="M590" i="1"/>
  <c r="O589" i="1" a="1"/>
  <c r="O589" i="1" s="1"/>
  <c r="M589" i="1"/>
  <c r="O588" i="1" a="1"/>
  <c r="O588" i="1" s="1"/>
  <c r="M588" i="1"/>
  <c r="O587" i="1" a="1"/>
  <c r="O587" i="1" s="1"/>
  <c r="M587" i="1"/>
  <c r="O586" i="1" a="1"/>
  <c r="O586" i="1" s="1"/>
  <c r="M586" i="1"/>
  <c r="O585" i="1" a="1"/>
  <c r="O585" i="1" s="1"/>
  <c r="M585" i="1"/>
  <c r="O584" i="1" a="1"/>
  <c r="O584" i="1" s="1"/>
  <c r="M584" i="1"/>
  <c r="O583" i="1" a="1"/>
  <c r="O583" i="1" s="1"/>
  <c r="M583" i="1"/>
  <c r="O582" i="1" a="1"/>
  <c r="O582" i="1" s="1"/>
  <c r="M582" i="1"/>
  <c r="O581" i="1" a="1"/>
  <c r="O581" i="1" s="1"/>
  <c r="M581" i="1"/>
  <c r="O580" i="1" a="1"/>
  <c r="O580" i="1" s="1"/>
  <c r="M580" i="1"/>
  <c r="O579" i="1" a="1"/>
  <c r="O579" i="1" s="1"/>
  <c r="M579" i="1"/>
  <c r="O578" i="1" a="1"/>
  <c r="O578" i="1" s="1"/>
  <c r="M578" i="1"/>
  <c r="O577" i="1" a="1"/>
  <c r="O577" i="1" s="1"/>
  <c r="M577" i="1"/>
  <c r="O576" i="1" a="1"/>
  <c r="O576" i="1" s="1"/>
  <c r="M576" i="1"/>
  <c r="O575" i="1" a="1"/>
  <c r="O575" i="1" s="1"/>
  <c r="M575" i="1"/>
  <c r="O574" i="1" a="1"/>
  <c r="O574" i="1" s="1"/>
  <c r="M574" i="1"/>
  <c r="O573" i="1" a="1"/>
  <c r="O573" i="1" s="1"/>
  <c r="M573" i="1"/>
  <c r="O572" i="1" a="1"/>
  <c r="O572" i="1" s="1"/>
  <c r="M572" i="1"/>
  <c r="O571" i="1" a="1"/>
  <c r="O571" i="1" s="1"/>
  <c r="M571" i="1"/>
  <c r="O570" i="1" a="1"/>
  <c r="O570" i="1" s="1"/>
  <c r="M570" i="1"/>
  <c r="O569" i="1" a="1"/>
  <c r="O569" i="1" s="1"/>
  <c r="M569" i="1"/>
  <c r="O568" i="1" a="1"/>
  <c r="O568" i="1" s="1"/>
  <c r="M568" i="1"/>
  <c r="O567" i="1" a="1"/>
  <c r="O567" i="1" s="1"/>
  <c r="M567" i="1"/>
  <c r="O566" i="1" a="1"/>
  <c r="O566" i="1" s="1"/>
  <c r="M566" i="1"/>
  <c r="O565" i="1" a="1"/>
  <c r="O565" i="1" s="1"/>
  <c r="M565" i="1"/>
  <c r="O564" i="1" a="1"/>
  <c r="O564" i="1" s="1"/>
  <c r="M564" i="1"/>
  <c r="O563" i="1" a="1"/>
  <c r="O563" i="1" s="1"/>
  <c r="M563" i="1"/>
  <c r="O562" i="1" a="1"/>
  <c r="O562" i="1" s="1"/>
  <c r="M562" i="1"/>
  <c r="O561" i="1" a="1"/>
  <c r="O561" i="1" s="1"/>
  <c r="M561" i="1"/>
  <c r="O560" i="1" a="1"/>
  <c r="O560" i="1" s="1"/>
  <c r="M560" i="1"/>
  <c r="O559" i="1" a="1"/>
  <c r="O559" i="1" s="1"/>
  <c r="M559" i="1"/>
  <c r="O558" i="1" a="1"/>
  <c r="O558" i="1" s="1"/>
  <c r="M558" i="1"/>
  <c r="O557" i="1" a="1"/>
  <c r="O557" i="1" s="1"/>
  <c r="M557" i="1"/>
  <c r="O556" i="1" a="1"/>
  <c r="O556" i="1" s="1"/>
  <c r="M556" i="1"/>
  <c r="O555" i="1" a="1"/>
  <c r="O555" i="1" s="1"/>
  <c r="M555" i="1"/>
  <c r="O554" i="1" a="1"/>
  <c r="O554" i="1" s="1"/>
  <c r="M554" i="1"/>
  <c r="O553" i="1" a="1"/>
  <c r="O553" i="1" s="1"/>
  <c r="M553" i="1"/>
  <c r="O552" i="1" a="1"/>
  <c r="O552" i="1" s="1"/>
  <c r="M552" i="1"/>
  <c r="O551" i="1" a="1"/>
  <c r="O551" i="1" s="1"/>
  <c r="M551" i="1"/>
  <c r="O550" i="1" a="1"/>
  <c r="O550" i="1" s="1"/>
  <c r="M550" i="1"/>
  <c r="O549" i="1" a="1"/>
  <c r="O549" i="1" s="1"/>
  <c r="M549" i="1"/>
  <c r="O548" i="1" a="1"/>
  <c r="O548" i="1" s="1"/>
  <c r="M548" i="1"/>
  <c r="O547" i="1" a="1"/>
  <c r="O547" i="1" s="1"/>
  <c r="M547" i="1"/>
  <c r="O546" i="1" a="1"/>
  <c r="O546" i="1" s="1"/>
  <c r="M546" i="1"/>
  <c r="O545" i="1" a="1"/>
  <c r="O545" i="1" s="1"/>
  <c r="M545" i="1"/>
  <c r="O544" i="1" a="1"/>
  <c r="O544" i="1" s="1"/>
  <c r="M544" i="1"/>
  <c r="O543" i="1" a="1"/>
  <c r="O543" i="1" s="1"/>
  <c r="M543" i="1"/>
  <c r="O542" i="1" a="1"/>
  <c r="O542" i="1" s="1"/>
  <c r="M542" i="1"/>
  <c r="O541" i="1" a="1"/>
  <c r="O541" i="1" s="1"/>
  <c r="M541" i="1"/>
  <c r="O540" i="1" a="1"/>
  <c r="O540" i="1" s="1"/>
  <c r="M540" i="1"/>
  <c r="O539" i="1" a="1"/>
  <c r="O539" i="1" s="1"/>
  <c r="M539" i="1"/>
  <c r="O538" i="1" a="1"/>
  <c r="O538" i="1" s="1"/>
  <c r="M538" i="1"/>
  <c r="O537" i="1" a="1"/>
  <c r="O537" i="1" s="1"/>
  <c r="M537" i="1"/>
  <c r="O536" i="1" a="1"/>
  <c r="O536" i="1" s="1"/>
  <c r="M536" i="1"/>
  <c r="O535" i="1" a="1"/>
  <c r="O535" i="1" s="1"/>
  <c r="M535" i="1"/>
  <c r="O534" i="1" a="1"/>
  <c r="O534" i="1" s="1"/>
  <c r="M534" i="1"/>
  <c r="O533" i="1" a="1"/>
  <c r="O533" i="1" s="1"/>
  <c r="M533" i="1"/>
  <c r="O532" i="1" a="1"/>
  <c r="O532" i="1" s="1"/>
  <c r="M532" i="1"/>
  <c r="O531" i="1" a="1"/>
  <c r="O531" i="1" s="1"/>
  <c r="M531" i="1"/>
  <c r="O530" i="1" a="1"/>
  <c r="O530" i="1" s="1"/>
  <c r="M530" i="1"/>
  <c r="O529" i="1" a="1"/>
  <c r="O529" i="1" s="1"/>
  <c r="M529" i="1"/>
  <c r="O528" i="1" a="1"/>
  <c r="O528" i="1" s="1"/>
  <c r="M528" i="1"/>
  <c r="O527" i="1" a="1"/>
  <c r="O527" i="1" s="1"/>
  <c r="M527" i="1"/>
  <c r="O526" i="1" a="1"/>
  <c r="O526" i="1" s="1"/>
  <c r="M526" i="1"/>
  <c r="O525" i="1" a="1"/>
  <c r="O525" i="1" s="1"/>
  <c r="M525" i="1"/>
  <c r="O524" i="1" a="1"/>
  <c r="O524" i="1" s="1"/>
  <c r="M524" i="1"/>
  <c r="O523" i="1" a="1"/>
  <c r="O523" i="1" s="1"/>
  <c r="M523" i="1"/>
  <c r="O522" i="1" a="1"/>
  <c r="O522" i="1" s="1"/>
  <c r="M522" i="1"/>
  <c r="O521" i="1" a="1"/>
  <c r="O521" i="1" s="1"/>
  <c r="M521" i="1"/>
  <c r="O520" i="1" a="1"/>
  <c r="O520" i="1" s="1"/>
  <c r="M520" i="1"/>
  <c r="O519" i="1" a="1"/>
  <c r="O519" i="1" s="1"/>
  <c r="M519" i="1"/>
  <c r="O518" i="1" a="1"/>
  <c r="O518" i="1" s="1"/>
  <c r="M518" i="1"/>
  <c r="O517" i="1" a="1"/>
  <c r="O517" i="1" s="1"/>
  <c r="M517" i="1"/>
  <c r="O516" i="1" a="1"/>
  <c r="O516" i="1" s="1"/>
  <c r="M516" i="1"/>
  <c r="O515" i="1" a="1"/>
  <c r="O515" i="1" s="1"/>
  <c r="M515" i="1"/>
  <c r="O514" i="1" a="1"/>
  <c r="O514" i="1" s="1"/>
  <c r="M514" i="1"/>
  <c r="O513" i="1" a="1"/>
  <c r="O513" i="1" s="1"/>
  <c r="M513" i="1"/>
  <c r="O512" i="1" a="1"/>
  <c r="O512" i="1" s="1"/>
  <c r="M512" i="1"/>
  <c r="O511" i="1" a="1"/>
  <c r="O511" i="1" s="1"/>
  <c r="M511" i="1"/>
  <c r="O510" i="1" a="1"/>
  <c r="O510" i="1" s="1"/>
  <c r="M510" i="1"/>
  <c r="O509" i="1" a="1"/>
  <c r="O509" i="1" s="1"/>
  <c r="M509" i="1"/>
  <c r="O508" i="1" a="1"/>
  <c r="O508" i="1" s="1"/>
  <c r="M508" i="1"/>
  <c r="O507" i="1" a="1"/>
  <c r="O507" i="1" s="1"/>
  <c r="M507" i="1"/>
  <c r="O506" i="1" a="1"/>
  <c r="O506" i="1" s="1"/>
  <c r="M506" i="1"/>
  <c r="O505" i="1" a="1"/>
  <c r="O505" i="1" s="1"/>
  <c r="M505" i="1"/>
  <c r="O504" i="1" a="1"/>
  <c r="O504" i="1" s="1"/>
  <c r="M504" i="1"/>
  <c r="O503" i="1" a="1"/>
  <c r="O503" i="1" s="1"/>
  <c r="M503" i="1"/>
  <c r="O502" i="1" a="1"/>
  <c r="O502" i="1" s="1"/>
  <c r="M502" i="1"/>
  <c r="O501" i="1" a="1"/>
  <c r="O501" i="1" s="1"/>
  <c r="M501" i="1"/>
  <c r="O500" i="1" a="1"/>
  <c r="O500" i="1" s="1"/>
  <c r="M500" i="1"/>
  <c r="O499" i="1" a="1"/>
  <c r="O499" i="1" s="1"/>
  <c r="M499" i="1"/>
  <c r="O498" i="1" a="1"/>
  <c r="O498" i="1" s="1"/>
  <c r="M498" i="1"/>
  <c r="O497" i="1" a="1"/>
  <c r="O497" i="1" s="1"/>
  <c r="M497" i="1"/>
  <c r="O496" i="1" a="1"/>
  <c r="O496" i="1" s="1"/>
  <c r="M496" i="1"/>
  <c r="O495" i="1" a="1"/>
  <c r="O495" i="1" s="1"/>
  <c r="M495" i="1"/>
  <c r="O494" i="1" a="1"/>
  <c r="O494" i="1" s="1"/>
  <c r="M494" i="1"/>
  <c r="O493" i="1" a="1"/>
  <c r="O493" i="1" s="1"/>
  <c r="M493" i="1"/>
  <c r="O492" i="1" a="1"/>
  <c r="O492" i="1" s="1"/>
  <c r="M492" i="1"/>
  <c r="O491" i="1" a="1"/>
  <c r="O491" i="1" s="1"/>
  <c r="M491" i="1"/>
  <c r="O490" i="1" a="1"/>
  <c r="O490" i="1" s="1"/>
  <c r="M490" i="1"/>
  <c r="O489" i="1" a="1"/>
  <c r="O489" i="1" s="1"/>
  <c r="M489" i="1"/>
  <c r="O488" i="1" a="1"/>
  <c r="O488" i="1" s="1"/>
  <c r="M488" i="1"/>
  <c r="O487" i="1" a="1"/>
  <c r="O487" i="1" s="1"/>
  <c r="M487" i="1"/>
  <c r="O486" i="1" a="1"/>
  <c r="O486" i="1" s="1"/>
  <c r="M486" i="1"/>
  <c r="O485" i="1" a="1"/>
  <c r="O485" i="1" s="1"/>
  <c r="M485" i="1"/>
  <c r="O484" i="1" a="1"/>
  <c r="O484" i="1" s="1"/>
  <c r="M484" i="1"/>
  <c r="O483" i="1" a="1"/>
  <c r="O483" i="1" s="1"/>
  <c r="M483" i="1"/>
  <c r="O482" i="1" a="1"/>
  <c r="O482" i="1" s="1"/>
  <c r="M482" i="1"/>
  <c r="O481" i="1" a="1"/>
  <c r="O481" i="1" s="1"/>
  <c r="M481" i="1"/>
  <c r="O480" i="1" a="1"/>
  <c r="O480" i="1" s="1"/>
  <c r="M480" i="1"/>
  <c r="O479" i="1" a="1"/>
  <c r="O479" i="1" s="1"/>
  <c r="M479" i="1"/>
  <c r="O478" i="1" a="1"/>
  <c r="O478" i="1" s="1"/>
  <c r="M478" i="1"/>
  <c r="O477" i="1" a="1"/>
  <c r="O477" i="1" s="1"/>
  <c r="M477" i="1"/>
  <c r="O476" i="1" a="1"/>
  <c r="O476" i="1" s="1"/>
  <c r="M476" i="1"/>
  <c r="O475" i="1" a="1"/>
  <c r="O475" i="1" s="1"/>
  <c r="M475" i="1"/>
  <c r="O474" i="1" a="1"/>
  <c r="O474" i="1" s="1"/>
  <c r="M474" i="1"/>
  <c r="O473" i="1" a="1"/>
  <c r="O473" i="1" s="1"/>
  <c r="M473" i="1"/>
  <c r="O472" i="1" a="1"/>
  <c r="O472" i="1" s="1"/>
  <c r="M472" i="1"/>
  <c r="O471" i="1" a="1"/>
  <c r="O471" i="1" s="1"/>
  <c r="M471" i="1"/>
  <c r="O470" i="1" a="1"/>
  <c r="O470" i="1" s="1"/>
  <c r="M470" i="1"/>
  <c r="O469" i="1" a="1"/>
  <c r="O469" i="1" s="1"/>
  <c r="M469" i="1"/>
  <c r="O468" i="1" a="1"/>
  <c r="O468" i="1" s="1"/>
  <c r="M468" i="1"/>
  <c r="O467" i="1" a="1"/>
  <c r="O467" i="1" s="1"/>
  <c r="M467" i="1"/>
  <c r="O466" i="1" a="1"/>
  <c r="O466" i="1" s="1"/>
  <c r="M466" i="1"/>
  <c r="O465" i="1" a="1"/>
  <c r="O465" i="1" s="1"/>
  <c r="M465" i="1"/>
  <c r="O464" i="1" a="1"/>
  <c r="O464" i="1" s="1"/>
  <c r="M464" i="1"/>
  <c r="O463" i="1" a="1"/>
  <c r="O463" i="1" s="1"/>
  <c r="M463" i="1"/>
  <c r="O462" i="1" a="1"/>
  <c r="O462" i="1" s="1"/>
  <c r="M462" i="1"/>
  <c r="O461" i="1" a="1"/>
  <c r="O461" i="1" s="1"/>
  <c r="M461" i="1"/>
  <c r="O460" i="1" a="1"/>
  <c r="O460" i="1" s="1"/>
  <c r="M460" i="1"/>
  <c r="O459" i="1" a="1"/>
  <c r="O459" i="1" s="1"/>
  <c r="M459" i="1"/>
  <c r="O458" i="1" a="1"/>
  <c r="O458" i="1" s="1"/>
  <c r="M458" i="1"/>
  <c r="O457" i="1" a="1"/>
  <c r="O457" i="1" s="1"/>
  <c r="M457" i="1"/>
  <c r="O456" i="1" a="1"/>
  <c r="O456" i="1" s="1"/>
  <c r="M456" i="1"/>
  <c r="O455" i="1" a="1"/>
  <c r="O455" i="1" s="1"/>
  <c r="M455" i="1"/>
  <c r="O454" i="1" a="1"/>
  <c r="O454" i="1" s="1"/>
  <c r="M454" i="1"/>
  <c r="O453" i="1" a="1"/>
  <c r="O453" i="1" s="1"/>
  <c r="M453" i="1"/>
  <c r="O452" i="1" a="1"/>
  <c r="O452" i="1" s="1"/>
  <c r="M452" i="1"/>
  <c r="O451" i="1" a="1"/>
  <c r="O451" i="1" s="1"/>
  <c r="M451" i="1"/>
  <c r="O450" i="1" a="1"/>
  <c r="O450" i="1" s="1"/>
  <c r="M450" i="1"/>
  <c r="O449" i="1" a="1"/>
  <c r="O449" i="1" s="1"/>
  <c r="M449" i="1"/>
  <c r="O448" i="1" a="1"/>
  <c r="O448" i="1" s="1"/>
  <c r="M448" i="1"/>
  <c r="O447" i="1" a="1"/>
  <c r="O447" i="1" s="1"/>
  <c r="M447" i="1"/>
  <c r="O446" i="1" a="1"/>
  <c r="O446" i="1" s="1"/>
  <c r="M446" i="1"/>
  <c r="O445" i="1" a="1"/>
  <c r="O445" i="1" s="1"/>
  <c r="M445" i="1"/>
  <c r="O444" i="1" a="1"/>
  <c r="O444" i="1" s="1"/>
  <c r="M444" i="1"/>
  <c r="O443" i="1" a="1"/>
  <c r="O443" i="1" s="1"/>
  <c r="M443" i="1"/>
  <c r="O442" i="1" a="1"/>
  <c r="O442" i="1" s="1"/>
  <c r="M442" i="1"/>
  <c r="O441" i="1" a="1"/>
  <c r="O441" i="1" s="1"/>
  <c r="M441" i="1"/>
  <c r="O440" i="1" a="1"/>
  <c r="O440" i="1" s="1"/>
  <c r="M440" i="1"/>
  <c r="O439" i="1" a="1"/>
  <c r="O439" i="1" s="1"/>
  <c r="M439" i="1"/>
  <c r="O438" i="1" a="1"/>
  <c r="O438" i="1" s="1"/>
  <c r="M438" i="1"/>
  <c r="O437" i="1" a="1"/>
  <c r="O437" i="1" s="1"/>
  <c r="M437" i="1"/>
  <c r="O436" i="1" a="1"/>
  <c r="O436" i="1" s="1"/>
  <c r="M436" i="1"/>
  <c r="O435" i="1" a="1"/>
  <c r="O435" i="1" s="1"/>
  <c r="M435" i="1"/>
  <c r="O434" i="1" a="1"/>
  <c r="O434" i="1" s="1"/>
  <c r="M434" i="1"/>
  <c r="O433" i="1" a="1"/>
  <c r="O433" i="1" s="1"/>
  <c r="M433" i="1"/>
  <c r="O432" i="1" a="1"/>
  <c r="O432" i="1" s="1"/>
  <c r="M432" i="1"/>
  <c r="O431" i="1" a="1"/>
  <c r="O431" i="1" s="1"/>
  <c r="M431" i="1"/>
  <c r="O430" i="1" a="1"/>
  <c r="O430" i="1" s="1"/>
  <c r="M430" i="1"/>
  <c r="O429" i="1" a="1"/>
  <c r="O429" i="1" s="1"/>
  <c r="M429" i="1"/>
  <c r="O428" i="1" a="1"/>
  <c r="O428" i="1" s="1"/>
  <c r="M428" i="1"/>
  <c r="O427" i="1" a="1"/>
  <c r="O427" i="1" s="1"/>
  <c r="M427" i="1"/>
  <c r="O426" i="1" a="1"/>
  <c r="O426" i="1" s="1"/>
  <c r="M426" i="1"/>
  <c r="O425" i="1" a="1"/>
  <c r="O425" i="1" s="1"/>
  <c r="M425" i="1"/>
  <c r="O424" i="1" a="1"/>
  <c r="O424" i="1" s="1"/>
  <c r="M424" i="1"/>
  <c r="O423" i="1" a="1"/>
  <c r="O423" i="1" s="1"/>
  <c r="M423" i="1"/>
  <c r="O422" i="1" a="1"/>
  <c r="O422" i="1" s="1"/>
  <c r="M422" i="1"/>
  <c r="O421" i="1" a="1"/>
  <c r="O421" i="1" s="1"/>
  <c r="M421" i="1"/>
  <c r="O420" i="1" a="1"/>
  <c r="O420" i="1" s="1"/>
  <c r="M420" i="1"/>
  <c r="O419" i="1" a="1"/>
  <c r="O419" i="1" s="1"/>
  <c r="M419" i="1"/>
  <c r="O418" i="1" a="1"/>
  <c r="O418" i="1" s="1"/>
  <c r="M418" i="1"/>
  <c r="O417" i="1" a="1"/>
  <c r="O417" i="1" s="1"/>
  <c r="M417" i="1"/>
  <c r="O416" i="1" a="1"/>
  <c r="O416" i="1" s="1"/>
  <c r="M416" i="1"/>
  <c r="O415" i="1" a="1"/>
  <c r="O415" i="1" s="1"/>
  <c r="M415" i="1"/>
  <c r="O414" i="1" a="1"/>
  <c r="O414" i="1" s="1"/>
  <c r="M414" i="1"/>
  <c r="O413" i="1" a="1"/>
  <c r="O413" i="1" s="1"/>
  <c r="M413" i="1"/>
  <c r="O412" i="1" a="1"/>
  <c r="O412" i="1" s="1"/>
  <c r="M412" i="1"/>
  <c r="O411" i="1" a="1"/>
  <c r="O411" i="1" s="1"/>
  <c r="M411" i="1"/>
  <c r="O410" i="1" a="1"/>
  <c r="O410" i="1" s="1"/>
  <c r="M410" i="1"/>
  <c r="O409" i="1" a="1"/>
  <c r="O409" i="1" s="1"/>
  <c r="M409" i="1"/>
  <c r="O408" i="1" a="1"/>
  <c r="O408" i="1" s="1"/>
  <c r="M408" i="1"/>
  <c r="O407" i="1" a="1"/>
  <c r="O407" i="1" s="1"/>
  <c r="M407" i="1"/>
  <c r="O406" i="1" a="1"/>
  <c r="O406" i="1" s="1"/>
  <c r="M406" i="1"/>
  <c r="O405" i="1" a="1"/>
  <c r="O405" i="1" s="1"/>
  <c r="M405" i="1"/>
  <c r="O404" i="1" a="1"/>
  <c r="O404" i="1" s="1"/>
  <c r="M404" i="1"/>
  <c r="O403" i="1" a="1"/>
  <c r="O403" i="1" s="1"/>
  <c r="M403" i="1"/>
  <c r="O402" i="1" a="1"/>
  <c r="O402" i="1" s="1"/>
  <c r="M402" i="1"/>
  <c r="O401" i="1" a="1"/>
  <c r="O401" i="1" s="1"/>
  <c r="M401" i="1"/>
  <c r="O400" i="1" a="1"/>
  <c r="O400" i="1" s="1"/>
  <c r="M400" i="1"/>
  <c r="O399" i="1" a="1"/>
  <c r="O399" i="1" s="1"/>
  <c r="M399" i="1"/>
  <c r="O398" i="1" a="1"/>
  <c r="O398" i="1" s="1"/>
  <c r="M398" i="1"/>
  <c r="O397" i="1" a="1"/>
  <c r="O397" i="1" s="1"/>
  <c r="M397" i="1"/>
  <c r="O396" i="1" a="1"/>
  <c r="O396" i="1" s="1"/>
  <c r="M396" i="1"/>
  <c r="O395" i="1" a="1"/>
  <c r="O395" i="1" s="1"/>
  <c r="M395" i="1"/>
  <c r="O394" i="1" a="1"/>
  <c r="O394" i="1" s="1"/>
  <c r="M394" i="1"/>
  <c r="O393" i="1" a="1"/>
  <c r="O393" i="1" s="1"/>
  <c r="M393" i="1"/>
  <c r="O392" i="1" a="1"/>
  <c r="O392" i="1" s="1"/>
  <c r="M392" i="1"/>
  <c r="O391" i="1" a="1"/>
  <c r="O391" i="1" s="1"/>
  <c r="M391" i="1"/>
  <c r="O390" i="1" a="1"/>
  <c r="O390" i="1" s="1"/>
  <c r="M390" i="1"/>
  <c r="O389" i="1" a="1"/>
  <c r="O389" i="1" s="1"/>
  <c r="M389" i="1"/>
  <c r="O388" i="1" a="1"/>
  <c r="O388" i="1" s="1"/>
  <c r="M388" i="1"/>
  <c r="O387" i="1" a="1"/>
  <c r="O387" i="1" s="1"/>
  <c r="M387" i="1"/>
  <c r="O386" i="1" a="1"/>
  <c r="O386" i="1" s="1"/>
  <c r="M386" i="1"/>
  <c r="O385" i="1" a="1"/>
  <c r="O385" i="1" s="1"/>
  <c r="M385" i="1"/>
  <c r="O384" i="1" a="1"/>
  <c r="O384" i="1" s="1"/>
  <c r="M384" i="1"/>
  <c r="O383" i="1" a="1"/>
  <c r="O383" i="1" s="1"/>
  <c r="M383" i="1"/>
  <c r="O382" i="1" a="1"/>
  <c r="O382" i="1" s="1"/>
  <c r="M382" i="1"/>
  <c r="O381" i="1" a="1"/>
  <c r="O381" i="1" s="1"/>
  <c r="M381" i="1"/>
  <c r="O380" i="1" a="1"/>
  <c r="O380" i="1" s="1"/>
  <c r="M380" i="1"/>
  <c r="O379" i="1" a="1"/>
  <c r="O379" i="1" s="1"/>
  <c r="M379" i="1"/>
  <c r="O378" i="1" a="1"/>
  <c r="O378" i="1" s="1"/>
  <c r="M378" i="1"/>
  <c r="O377" i="1" a="1"/>
  <c r="O377" i="1" s="1"/>
  <c r="M377" i="1"/>
  <c r="O376" i="1" a="1"/>
  <c r="O376" i="1" s="1"/>
  <c r="M376" i="1"/>
  <c r="O375" i="1" a="1"/>
  <c r="O375" i="1" s="1"/>
  <c r="M375" i="1"/>
  <c r="O374" i="1" a="1"/>
  <c r="O374" i="1" s="1"/>
  <c r="M374" i="1"/>
  <c r="O373" i="1" a="1"/>
  <c r="O373" i="1" s="1"/>
  <c r="M373" i="1"/>
  <c r="O372" i="1" a="1"/>
  <c r="O372" i="1" s="1"/>
  <c r="M372" i="1"/>
  <c r="O371" i="1" a="1"/>
  <c r="O371" i="1" s="1"/>
  <c r="M371" i="1"/>
  <c r="O370" i="1" a="1"/>
  <c r="O370" i="1" s="1"/>
  <c r="M370" i="1"/>
  <c r="O369" i="1" a="1"/>
  <c r="O369" i="1" s="1"/>
  <c r="M369" i="1"/>
  <c r="O368" i="1" a="1"/>
  <c r="O368" i="1" s="1"/>
  <c r="M368" i="1"/>
  <c r="O367" i="1" a="1"/>
  <c r="O367" i="1" s="1"/>
  <c r="M367" i="1"/>
  <c r="O366" i="1" a="1"/>
  <c r="O366" i="1" s="1"/>
  <c r="M366" i="1"/>
  <c r="O365" i="1" a="1"/>
  <c r="O365" i="1" s="1"/>
  <c r="M365" i="1"/>
  <c r="O364" i="1" a="1"/>
  <c r="O364" i="1" s="1"/>
  <c r="M364" i="1"/>
  <c r="O363" i="1" a="1"/>
  <c r="O363" i="1" s="1"/>
  <c r="M363" i="1"/>
  <c r="O362" i="1" a="1"/>
  <c r="O362" i="1" s="1"/>
  <c r="M362" i="1"/>
  <c r="O361" i="1" a="1"/>
  <c r="O361" i="1" s="1"/>
  <c r="M361" i="1"/>
  <c r="O360" i="1" a="1"/>
  <c r="O360" i="1" s="1"/>
  <c r="M360" i="1"/>
  <c r="O359" i="1" a="1"/>
  <c r="O359" i="1" s="1"/>
  <c r="M359" i="1"/>
  <c r="O358" i="1" a="1"/>
  <c r="O358" i="1" s="1"/>
  <c r="M358" i="1"/>
  <c r="O357" i="1" a="1"/>
  <c r="O357" i="1" s="1"/>
  <c r="M357" i="1"/>
  <c r="O356" i="1" a="1"/>
  <c r="O356" i="1" s="1"/>
  <c r="M356" i="1"/>
  <c r="O355" i="1" a="1"/>
  <c r="O355" i="1" s="1"/>
  <c r="M355" i="1"/>
  <c r="O354" i="1" a="1"/>
  <c r="O354" i="1" s="1"/>
  <c r="M354" i="1"/>
  <c r="O353" i="1" a="1"/>
  <c r="O353" i="1" s="1"/>
  <c r="M353" i="1"/>
  <c r="O352" i="1" a="1"/>
  <c r="O352" i="1" s="1"/>
  <c r="M352" i="1"/>
  <c r="O351" i="1" a="1"/>
  <c r="O351" i="1" s="1"/>
  <c r="M351" i="1"/>
  <c r="O350" i="1" a="1"/>
  <c r="O350" i="1" s="1"/>
  <c r="M350" i="1"/>
  <c r="O349" i="1" a="1"/>
  <c r="O349" i="1" s="1"/>
  <c r="M349" i="1"/>
  <c r="O348" i="1" a="1"/>
  <c r="O348" i="1" s="1"/>
  <c r="M348" i="1"/>
  <c r="O347" i="1" a="1"/>
  <c r="O347" i="1" s="1"/>
  <c r="M347" i="1"/>
  <c r="O346" i="1" a="1"/>
  <c r="O346" i="1" s="1"/>
  <c r="M346" i="1"/>
  <c r="O345" i="1" a="1"/>
  <c r="O345" i="1" s="1"/>
  <c r="M345" i="1"/>
  <c r="O344" i="1" a="1"/>
  <c r="O344" i="1" s="1"/>
  <c r="M344" i="1"/>
  <c r="O343" i="1" a="1"/>
  <c r="O343" i="1" s="1"/>
  <c r="M343" i="1"/>
  <c r="O342" i="1" a="1"/>
  <c r="O342" i="1" s="1"/>
  <c r="M342" i="1"/>
  <c r="O341" i="1" a="1"/>
  <c r="O341" i="1" s="1"/>
  <c r="M341" i="1"/>
  <c r="O340" i="1" a="1"/>
  <c r="O340" i="1" s="1"/>
  <c r="M340" i="1"/>
  <c r="O339" i="1" a="1"/>
  <c r="O339" i="1" s="1"/>
  <c r="M339" i="1"/>
  <c r="O338" i="1" a="1"/>
  <c r="O338" i="1" s="1"/>
  <c r="M338" i="1"/>
  <c r="O337" i="1" a="1"/>
  <c r="O337" i="1" s="1"/>
  <c r="M337" i="1"/>
  <c r="O336" i="1" a="1"/>
  <c r="O336" i="1" s="1"/>
  <c r="M336" i="1"/>
  <c r="O335" i="1" a="1"/>
  <c r="O335" i="1" s="1"/>
  <c r="M335" i="1"/>
  <c r="O334" i="1" a="1"/>
  <c r="O334" i="1" s="1"/>
  <c r="M334" i="1"/>
  <c r="O333" i="1" a="1"/>
  <c r="O333" i="1" s="1"/>
  <c r="M333" i="1"/>
  <c r="O332" i="1" a="1"/>
  <c r="O332" i="1" s="1"/>
  <c r="M332" i="1"/>
  <c r="O331" i="1" a="1"/>
  <c r="O331" i="1" s="1"/>
  <c r="M331" i="1"/>
  <c r="O330" i="1" a="1"/>
  <c r="O330" i="1" s="1"/>
  <c r="M330" i="1"/>
  <c r="O329" i="1" a="1"/>
  <c r="O329" i="1" s="1"/>
  <c r="M329" i="1"/>
  <c r="O328" i="1" a="1"/>
  <c r="O328" i="1" s="1"/>
  <c r="M328" i="1"/>
  <c r="O327" i="1" a="1"/>
  <c r="O327" i="1" s="1"/>
  <c r="M327" i="1"/>
  <c r="O326" i="1" a="1"/>
  <c r="O326" i="1" s="1"/>
  <c r="M326" i="1"/>
  <c r="O325" i="1" a="1"/>
  <c r="O325" i="1" s="1"/>
  <c r="M325" i="1"/>
  <c r="O324" i="1" a="1"/>
  <c r="O324" i="1" s="1"/>
  <c r="M324" i="1"/>
  <c r="O323" i="1" a="1"/>
  <c r="O323" i="1" s="1"/>
  <c r="M323" i="1"/>
  <c r="O322" i="1" a="1"/>
  <c r="O322" i="1" s="1"/>
  <c r="M322" i="1"/>
  <c r="O321" i="1" a="1"/>
  <c r="O321" i="1" s="1"/>
  <c r="M321" i="1"/>
  <c r="O320" i="1" a="1"/>
  <c r="O320" i="1" s="1"/>
  <c r="M320" i="1"/>
  <c r="O319" i="1" a="1"/>
  <c r="O319" i="1" s="1"/>
  <c r="M319" i="1"/>
  <c r="O318" i="1" a="1"/>
  <c r="O318" i="1" s="1"/>
  <c r="M318" i="1"/>
  <c r="O317" i="1" a="1"/>
  <c r="O317" i="1" s="1"/>
  <c r="M317" i="1"/>
  <c r="O316" i="1" a="1"/>
  <c r="O316" i="1" s="1"/>
  <c r="M316" i="1"/>
  <c r="O315" i="1" a="1"/>
  <c r="O315" i="1" s="1"/>
  <c r="M315" i="1"/>
  <c r="O314" i="1" a="1"/>
  <c r="O314" i="1" s="1"/>
  <c r="M314" i="1"/>
  <c r="O313" i="1" a="1"/>
  <c r="O313" i="1" s="1"/>
  <c r="M313" i="1"/>
  <c r="O312" i="1" a="1"/>
  <c r="O312" i="1" s="1"/>
  <c r="M312" i="1"/>
  <c r="O311" i="1" a="1"/>
  <c r="O311" i="1" s="1"/>
  <c r="M311" i="1"/>
  <c r="O310" i="1" a="1"/>
  <c r="O310" i="1" s="1"/>
  <c r="M310" i="1"/>
  <c r="O309" i="1" a="1"/>
  <c r="O309" i="1" s="1"/>
  <c r="M309" i="1"/>
  <c r="O308" i="1" a="1"/>
  <c r="O308" i="1" s="1"/>
  <c r="M308" i="1"/>
  <c r="O307" i="1" a="1"/>
  <c r="O307" i="1" s="1"/>
  <c r="M307" i="1"/>
  <c r="O306" i="1" a="1"/>
  <c r="O306" i="1" s="1"/>
  <c r="M306" i="1"/>
  <c r="O305" i="1" a="1"/>
  <c r="O305" i="1" s="1"/>
  <c r="M305" i="1"/>
  <c r="O304" i="1" a="1"/>
  <c r="O304" i="1" s="1"/>
  <c r="M304" i="1"/>
  <c r="O303" i="1" a="1"/>
  <c r="O303" i="1" s="1"/>
  <c r="M303" i="1"/>
  <c r="O302" i="1" a="1"/>
  <c r="O302" i="1" s="1"/>
  <c r="M302" i="1"/>
  <c r="O301" i="1" a="1"/>
  <c r="O301" i="1" s="1"/>
  <c r="M301" i="1"/>
  <c r="O300" i="1" a="1"/>
  <c r="O300" i="1" s="1"/>
  <c r="M300" i="1"/>
  <c r="O299" i="1" a="1"/>
  <c r="O299" i="1" s="1"/>
  <c r="M299" i="1"/>
  <c r="O298" i="1" a="1"/>
  <c r="O298" i="1" s="1"/>
  <c r="M298" i="1"/>
  <c r="O297" i="1" a="1"/>
  <c r="O297" i="1" s="1"/>
  <c r="M297" i="1"/>
  <c r="O296" i="1" a="1"/>
  <c r="O296" i="1" s="1"/>
  <c r="M296" i="1"/>
  <c r="O295" i="1" a="1"/>
  <c r="O295" i="1" s="1"/>
  <c r="M295" i="1"/>
  <c r="O294" i="1" a="1"/>
  <c r="O294" i="1" s="1"/>
  <c r="M294" i="1"/>
  <c r="O293" i="1" a="1"/>
  <c r="O293" i="1" s="1"/>
  <c r="M293" i="1"/>
  <c r="O292" i="1" a="1"/>
  <c r="O292" i="1" s="1"/>
  <c r="M292" i="1"/>
  <c r="O291" i="1" a="1"/>
  <c r="O291" i="1" s="1"/>
  <c r="M291" i="1"/>
  <c r="O290" i="1" a="1"/>
  <c r="O290" i="1" s="1"/>
  <c r="M290" i="1"/>
  <c r="O289" i="1" a="1"/>
  <c r="O289" i="1" s="1"/>
  <c r="M289" i="1"/>
  <c r="O288" i="1" a="1"/>
  <c r="O288" i="1" s="1"/>
  <c r="M288" i="1"/>
  <c r="O287" i="1" a="1"/>
  <c r="O287" i="1" s="1"/>
  <c r="M287" i="1"/>
  <c r="O286" i="1" a="1"/>
  <c r="O286" i="1" s="1"/>
  <c r="M286" i="1"/>
  <c r="O285" i="1" a="1"/>
  <c r="O285" i="1" s="1"/>
  <c r="M285" i="1"/>
  <c r="O284" i="1" a="1"/>
  <c r="O284" i="1" s="1"/>
  <c r="M284" i="1"/>
  <c r="O283" i="1" a="1"/>
  <c r="O283" i="1" s="1"/>
  <c r="M283" i="1"/>
  <c r="O282" i="1" a="1"/>
  <c r="O282" i="1" s="1"/>
  <c r="M282" i="1"/>
  <c r="O281" i="1" a="1"/>
  <c r="O281" i="1" s="1"/>
  <c r="M281" i="1"/>
  <c r="O280" i="1" a="1"/>
  <c r="O280" i="1" s="1"/>
  <c r="M280" i="1"/>
  <c r="O279" i="1" a="1"/>
  <c r="O279" i="1" s="1"/>
  <c r="M279" i="1"/>
  <c r="O278" i="1" a="1"/>
  <c r="O278" i="1" s="1"/>
  <c r="M278" i="1"/>
  <c r="O277" i="1" a="1"/>
  <c r="O277" i="1" s="1"/>
  <c r="M277" i="1"/>
  <c r="O276" i="1" a="1"/>
  <c r="O276" i="1" s="1"/>
  <c r="M276" i="1"/>
  <c r="O275" i="1" a="1"/>
  <c r="O275" i="1" s="1"/>
  <c r="M275" i="1"/>
  <c r="O274" i="1" a="1"/>
  <c r="O274" i="1" s="1"/>
  <c r="M274" i="1"/>
  <c r="O273" i="1" a="1"/>
  <c r="O273" i="1" s="1"/>
  <c r="M273" i="1"/>
  <c r="O272" i="1" a="1"/>
  <c r="O272" i="1" s="1"/>
  <c r="M272" i="1"/>
  <c r="O271" i="1" a="1"/>
  <c r="O271" i="1" s="1"/>
  <c r="M271" i="1"/>
  <c r="O270" i="1" a="1"/>
  <c r="O270" i="1" s="1"/>
  <c r="M270" i="1"/>
  <c r="O269" i="1" a="1"/>
  <c r="O269" i="1" s="1"/>
  <c r="M269" i="1"/>
  <c r="O268" i="1" a="1"/>
  <c r="O268" i="1" s="1"/>
  <c r="M268" i="1"/>
  <c r="O267" i="1" a="1"/>
  <c r="O267" i="1" s="1"/>
  <c r="M267" i="1"/>
  <c r="O266" i="1" a="1"/>
  <c r="O266" i="1" s="1"/>
  <c r="M266" i="1"/>
  <c r="O265" i="1" a="1"/>
  <c r="O265" i="1" s="1"/>
  <c r="M265" i="1"/>
  <c r="O264" i="1" a="1"/>
  <c r="O264" i="1" s="1"/>
  <c r="M264" i="1"/>
  <c r="O263" i="1" a="1"/>
  <c r="O263" i="1" s="1"/>
  <c r="M263" i="1"/>
  <c r="O262" i="1" a="1"/>
  <c r="O262" i="1" s="1"/>
  <c r="M262" i="1"/>
  <c r="O261" i="1" a="1"/>
  <c r="O261" i="1" s="1"/>
  <c r="M261" i="1"/>
  <c r="O260" i="1" a="1"/>
  <c r="O260" i="1" s="1"/>
  <c r="M260" i="1"/>
  <c r="O259" i="1" a="1"/>
  <c r="O259" i="1" s="1"/>
  <c r="M259" i="1"/>
  <c r="O258" i="1" a="1"/>
  <c r="O258" i="1" s="1"/>
  <c r="M258" i="1"/>
  <c r="O257" i="1" a="1"/>
  <c r="O257" i="1" s="1"/>
  <c r="M257" i="1"/>
  <c r="O256" i="1" a="1"/>
  <c r="O256" i="1" s="1"/>
  <c r="M256" i="1"/>
  <c r="O255" i="1" a="1"/>
  <c r="O255" i="1" s="1"/>
  <c r="M255" i="1"/>
  <c r="O254" i="1" a="1"/>
  <c r="O254" i="1" s="1"/>
  <c r="M254" i="1"/>
  <c r="O253" i="1" a="1"/>
  <c r="O253" i="1" s="1"/>
  <c r="M253" i="1"/>
  <c r="O252" i="1" a="1"/>
  <c r="O252" i="1" s="1"/>
  <c r="M252" i="1"/>
  <c r="O251" i="1" a="1"/>
  <c r="O251" i="1" s="1"/>
  <c r="M251" i="1"/>
  <c r="O250" i="1" a="1"/>
  <c r="O250" i="1" s="1"/>
  <c r="M250" i="1"/>
  <c r="O249" i="1" a="1"/>
  <c r="O249" i="1" s="1"/>
  <c r="M249" i="1"/>
  <c r="O248" i="1" a="1"/>
  <c r="O248" i="1" s="1"/>
  <c r="M248" i="1"/>
  <c r="O247" i="1" a="1"/>
  <c r="O247" i="1" s="1"/>
  <c r="M247" i="1"/>
  <c r="O246" i="1" a="1"/>
  <c r="O246" i="1" s="1"/>
  <c r="M246" i="1"/>
  <c r="O245" i="1" a="1"/>
  <c r="O245" i="1" s="1"/>
  <c r="M245" i="1"/>
  <c r="O244" i="1" a="1"/>
  <c r="O244" i="1" s="1"/>
  <c r="M244" i="1"/>
  <c r="O243" i="1" a="1"/>
  <c r="O243" i="1" s="1"/>
  <c r="M243" i="1"/>
  <c r="O242" i="1" a="1"/>
  <c r="O242" i="1" s="1"/>
  <c r="M242" i="1"/>
  <c r="O241" i="1" a="1"/>
  <c r="O241" i="1" s="1"/>
  <c r="M241" i="1"/>
  <c r="O240" i="1" a="1"/>
  <c r="O240" i="1" s="1"/>
  <c r="M240" i="1"/>
  <c r="O239" i="1" a="1"/>
  <c r="O239" i="1" s="1"/>
  <c r="M239" i="1"/>
  <c r="O238" i="1" a="1"/>
  <c r="O238" i="1" s="1"/>
  <c r="M238" i="1"/>
  <c r="O237" i="1" a="1"/>
  <c r="O237" i="1" s="1"/>
  <c r="M237" i="1"/>
  <c r="O236" i="1" a="1"/>
  <c r="O236" i="1" s="1"/>
  <c r="M236" i="1"/>
  <c r="O235" i="1" a="1"/>
  <c r="O235" i="1" s="1"/>
  <c r="M235" i="1"/>
  <c r="O234" i="1" a="1"/>
  <c r="O234" i="1" s="1"/>
  <c r="M234" i="1"/>
  <c r="O233" i="1" a="1"/>
  <c r="O233" i="1" s="1"/>
  <c r="M233" i="1"/>
  <c r="O232" i="1" a="1"/>
  <c r="O232" i="1" s="1"/>
  <c r="M232" i="1"/>
  <c r="O231" i="1" a="1"/>
  <c r="O231" i="1" s="1"/>
  <c r="M231" i="1"/>
  <c r="O230" i="1" a="1"/>
  <c r="O230" i="1" s="1"/>
  <c r="M230" i="1"/>
  <c r="O229" i="1" a="1"/>
  <c r="O229" i="1" s="1"/>
  <c r="M229" i="1"/>
  <c r="O228" i="1" a="1"/>
  <c r="O228" i="1" s="1"/>
  <c r="M228" i="1"/>
  <c r="O227" i="1" a="1"/>
  <c r="O227" i="1" s="1"/>
  <c r="M227" i="1"/>
  <c r="O226" i="1" a="1"/>
  <c r="O226" i="1" s="1"/>
  <c r="M226" i="1"/>
  <c r="O225" i="1" a="1"/>
  <c r="O225" i="1" s="1"/>
  <c r="M225" i="1"/>
  <c r="O224" i="1" a="1"/>
  <c r="O224" i="1" s="1"/>
  <c r="M224" i="1"/>
  <c r="O223" i="1" a="1"/>
  <c r="O223" i="1" s="1"/>
  <c r="M223" i="1"/>
  <c r="O222" i="1" a="1"/>
  <c r="O222" i="1" s="1"/>
  <c r="M222" i="1"/>
  <c r="O221" i="1" a="1"/>
  <c r="O221" i="1" s="1"/>
  <c r="M221" i="1"/>
  <c r="O220" i="1" a="1"/>
  <c r="O220" i="1" s="1"/>
  <c r="M220" i="1"/>
  <c r="O219" i="1" a="1"/>
  <c r="O219" i="1" s="1"/>
  <c r="M219" i="1"/>
  <c r="O218" i="1" a="1"/>
  <c r="O218" i="1" s="1"/>
  <c r="M218" i="1"/>
  <c r="O217" i="1" a="1"/>
  <c r="O217" i="1" s="1"/>
  <c r="M217" i="1"/>
  <c r="O216" i="1" a="1"/>
  <c r="O216" i="1" s="1"/>
  <c r="M216" i="1"/>
  <c r="O215" i="1" a="1"/>
  <c r="O215" i="1" s="1"/>
  <c r="M215" i="1"/>
  <c r="O214" i="1" a="1"/>
  <c r="O214" i="1" s="1"/>
  <c r="M214" i="1"/>
  <c r="O213" i="1" a="1"/>
  <c r="O213" i="1" s="1"/>
  <c r="M213" i="1"/>
  <c r="O212" i="1" a="1"/>
  <c r="O212" i="1" s="1"/>
  <c r="M212" i="1"/>
  <c r="O211" i="1" a="1"/>
  <c r="O211" i="1" s="1"/>
  <c r="M211" i="1"/>
  <c r="O210" i="1" a="1"/>
  <c r="O210" i="1" s="1"/>
  <c r="M210" i="1"/>
  <c r="O209" i="1" a="1"/>
  <c r="O209" i="1" s="1"/>
  <c r="M209" i="1"/>
  <c r="O208" i="1" a="1"/>
  <c r="O208" i="1" s="1"/>
  <c r="M208" i="1"/>
  <c r="O207" i="1" a="1"/>
  <c r="O207" i="1" s="1"/>
  <c r="M207" i="1"/>
  <c r="O206" i="1" a="1"/>
  <c r="O206" i="1" s="1"/>
  <c r="M206" i="1"/>
  <c r="O205" i="1" a="1"/>
  <c r="O205" i="1" s="1"/>
  <c r="M205" i="1"/>
  <c r="O204" i="1" a="1"/>
  <c r="O204" i="1" s="1"/>
  <c r="M204" i="1"/>
  <c r="O203" i="1" a="1"/>
  <c r="O203" i="1" s="1"/>
  <c r="M203" i="1"/>
  <c r="O202" i="1" a="1"/>
  <c r="O202" i="1" s="1"/>
  <c r="M202" i="1"/>
  <c r="O201" i="1" a="1"/>
  <c r="O201" i="1" s="1"/>
  <c r="M201" i="1"/>
  <c r="O200" i="1" a="1"/>
  <c r="O200" i="1" s="1"/>
  <c r="M200" i="1"/>
  <c r="O199" i="1" a="1"/>
  <c r="O199" i="1" s="1"/>
  <c r="M199" i="1"/>
  <c r="O198" i="1" a="1"/>
  <c r="O198" i="1" s="1"/>
  <c r="M198" i="1"/>
  <c r="O197" i="1" a="1"/>
  <c r="O197" i="1" s="1"/>
  <c r="M197" i="1"/>
  <c r="O196" i="1" a="1"/>
  <c r="O196" i="1" s="1"/>
  <c r="M196" i="1"/>
  <c r="O195" i="1" a="1"/>
  <c r="O195" i="1" s="1"/>
  <c r="M195" i="1"/>
  <c r="O194" i="1" a="1"/>
  <c r="O194" i="1" s="1"/>
  <c r="M194" i="1"/>
  <c r="O193" i="1" a="1"/>
  <c r="O193" i="1" s="1"/>
  <c r="M193" i="1"/>
  <c r="O192" i="1" a="1"/>
  <c r="O192" i="1" s="1"/>
  <c r="M192" i="1"/>
  <c r="O191" i="1" a="1"/>
  <c r="O191" i="1" s="1"/>
  <c r="M191" i="1"/>
  <c r="O190" i="1" a="1"/>
  <c r="O190" i="1" s="1"/>
  <c r="M190" i="1"/>
  <c r="O189" i="1" a="1"/>
  <c r="O189" i="1" s="1"/>
  <c r="M189" i="1"/>
  <c r="O188" i="1" a="1"/>
  <c r="O188" i="1" s="1"/>
  <c r="M188" i="1"/>
  <c r="O187" i="1" a="1"/>
  <c r="O187" i="1" s="1"/>
  <c r="M187" i="1"/>
  <c r="O186" i="1" a="1"/>
  <c r="O186" i="1" s="1"/>
  <c r="M186" i="1"/>
  <c r="O185" i="1" a="1"/>
  <c r="O185" i="1" s="1"/>
  <c r="M185" i="1"/>
  <c r="O184" i="1" a="1"/>
  <c r="O184" i="1" s="1"/>
  <c r="M184" i="1"/>
  <c r="O183" i="1" a="1"/>
  <c r="O183" i="1" s="1"/>
  <c r="M183" i="1"/>
  <c r="O182" i="1" a="1"/>
  <c r="O182" i="1" s="1"/>
  <c r="M182" i="1"/>
  <c r="O181" i="1" a="1"/>
  <c r="O181" i="1" s="1"/>
  <c r="M181" i="1"/>
  <c r="O180" i="1" a="1"/>
  <c r="O180" i="1" s="1"/>
  <c r="M180" i="1"/>
  <c r="O179" i="1" a="1"/>
  <c r="O179" i="1" s="1"/>
  <c r="M179" i="1"/>
  <c r="O178" i="1" a="1"/>
  <c r="O178" i="1" s="1"/>
  <c r="M178" i="1"/>
  <c r="O177" i="1" a="1"/>
  <c r="O177" i="1" s="1"/>
  <c r="M177" i="1"/>
  <c r="O176" i="1" a="1"/>
  <c r="O176" i="1" s="1"/>
  <c r="M176" i="1"/>
  <c r="O175" i="1" a="1"/>
  <c r="O175" i="1" s="1"/>
  <c r="M175" i="1"/>
  <c r="O174" i="1" a="1"/>
  <c r="O174" i="1" s="1"/>
  <c r="M174" i="1"/>
  <c r="O173" i="1" a="1"/>
  <c r="O173" i="1" s="1"/>
  <c r="M173" i="1"/>
  <c r="O172" i="1" a="1"/>
  <c r="O172" i="1" s="1"/>
  <c r="M172" i="1"/>
  <c r="O171" i="1" a="1"/>
  <c r="O171" i="1" s="1"/>
  <c r="M171" i="1"/>
  <c r="O170" i="1" a="1"/>
  <c r="O170" i="1" s="1"/>
  <c r="M170" i="1"/>
  <c r="O169" i="1" a="1"/>
  <c r="O169" i="1" s="1"/>
  <c r="M169" i="1"/>
  <c r="O168" i="1" a="1"/>
  <c r="O168" i="1" s="1"/>
  <c r="M168" i="1"/>
  <c r="O167" i="1" a="1"/>
  <c r="O167" i="1" s="1"/>
  <c r="M167" i="1"/>
  <c r="O166" i="1" a="1"/>
  <c r="O166" i="1" s="1"/>
  <c r="M166" i="1"/>
  <c r="O165" i="1" a="1"/>
  <c r="O165" i="1" s="1"/>
  <c r="M165" i="1"/>
  <c r="O164" i="1" a="1"/>
  <c r="O164" i="1" s="1"/>
  <c r="M164" i="1"/>
  <c r="O163" i="1" a="1"/>
  <c r="O163" i="1" s="1"/>
  <c r="M163" i="1"/>
  <c r="O162" i="1" a="1"/>
  <c r="O162" i="1" s="1"/>
  <c r="M162" i="1"/>
  <c r="O161" i="1" a="1"/>
  <c r="O161" i="1" s="1"/>
  <c r="M161" i="1"/>
  <c r="O160" i="1" a="1"/>
  <c r="O160" i="1" s="1"/>
  <c r="M160" i="1"/>
  <c r="O159" i="1" a="1"/>
  <c r="O159" i="1" s="1"/>
  <c r="M159" i="1"/>
  <c r="O158" i="1" a="1"/>
  <c r="O158" i="1" s="1"/>
  <c r="M158" i="1"/>
  <c r="O157" i="1" a="1"/>
  <c r="O157" i="1" s="1"/>
  <c r="M157" i="1"/>
  <c r="O156" i="1" a="1"/>
  <c r="O156" i="1" s="1"/>
  <c r="M156" i="1"/>
  <c r="O155" i="1" a="1"/>
  <c r="O155" i="1" s="1"/>
  <c r="M155" i="1"/>
  <c r="O154" i="1" a="1"/>
  <c r="O154" i="1" s="1"/>
  <c r="M154" i="1"/>
  <c r="O153" i="1" a="1"/>
  <c r="O153" i="1" s="1"/>
  <c r="M153" i="1"/>
  <c r="O152" i="1" a="1"/>
  <c r="O152" i="1" s="1"/>
  <c r="M152" i="1"/>
  <c r="O151" i="1" a="1"/>
  <c r="O151" i="1" s="1"/>
  <c r="M151" i="1"/>
  <c r="O150" i="1" a="1"/>
  <c r="O150" i="1" s="1"/>
  <c r="M150" i="1"/>
  <c r="O149" i="1" a="1"/>
  <c r="O149" i="1" s="1"/>
  <c r="M149" i="1"/>
  <c r="O148" i="1" a="1"/>
  <c r="O148" i="1" s="1"/>
  <c r="M148" i="1"/>
  <c r="O147" i="1" a="1"/>
  <c r="O147" i="1" s="1"/>
  <c r="M147" i="1"/>
  <c r="O146" i="1" a="1"/>
  <c r="O146" i="1" s="1"/>
  <c r="M146" i="1"/>
  <c r="O145" i="1" a="1"/>
  <c r="O145" i="1" s="1"/>
  <c r="M145" i="1"/>
  <c r="O144" i="1" a="1"/>
  <c r="O144" i="1" s="1"/>
  <c r="M144" i="1"/>
  <c r="O143" i="1" a="1"/>
  <c r="O143" i="1" s="1"/>
  <c r="M143" i="1"/>
  <c r="O142" i="1" a="1"/>
  <c r="O142" i="1" s="1"/>
  <c r="M142" i="1"/>
  <c r="O141" i="1" a="1"/>
  <c r="O141" i="1" s="1"/>
  <c r="M141" i="1"/>
  <c r="O140" i="1" a="1"/>
  <c r="O140" i="1" s="1"/>
  <c r="M140" i="1"/>
  <c r="O139" i="1" a="1"/>
  <c r="O139" i="1" s="1"/>
  <c r="M139" i="1"/>
  <c r="O138" i="1" a="1"/>
  <c r="O138" i="1" s="1"/>
  <c r="M138" i="1"/>
  <c r="O137" i="1" a="1"/>
  <c r="O137" i="1" s="1"/>
  <c r="M137" i="1"/>
  <c r="O136" i="1" a="1"/>
  <c r="O136" i="1" s="1"/>
  <c r="M136" i="1"/>
  <c r="O135" i="1" a="1"/>
  <c r="O135" i="1" s="1"/>
  <c r="M135" i="1"/>
  <c r="O134" i="1" a="1"/>
  <c r="O134" i="1" s="1"/>
  <c r="M134" i="1"/>
  <c r="O133" i="1" a="1"/>
  <c r="O133" i="1" s="1"/>
  <c r="M133" i="1"/>
  <c r="O132" i="1" a="1"/>
  <c r="O132" i="1" s="1"/>
  <c r="M132" i="1"/>
  <c r="O131" i="1" a="1"/>
  <c r="O131" i="1" s="1"/>
  <c r="M131" i="1"/>
  <c r="O130" i="1" a="1"/>
  <c r="O130" i="1" s="1"/>
  <c r="M130" i="1"/>
  <c r="O129" i="1" a="1"/>
  <c r="O129" i="1" s="1"/>
  <c r="M129" i="1"/>
  <c r="O128" i="1" a="1"/>
  <c r="O128" i="1" s="1"/>
  <c r="M128" i="1"/>
  <c r="O127" i="1" a="1"/>
  <c r="O127" i="1" s="1"/>
  <c r="M127" i="1"/>
  <c r="O126" i="1" a="1"/>
  <c r="O126" i="1" s="1"/>
  <c r="M126" i="1"/>
  <c r="O125" i="1" a="1"/>
  <c r="O125" i="1" s="1"/>
  <c r="M125" i="1"/>
  <c r="O124" i="1" a="1"/>
  <c r="O124" i="1" s="1"/>
  <c r="M124" i="1"/>
  <c r="O123" i="1" a="1"/>
  <c r="O123" i="1" s="1"/>
  <c r="M123" i="1"/>
  <c r="O122" i="1" a="1"/>
  <c r="O122" i="1" s="1"/>
  <c r="M122" i="1"/>
  <c r="O121" i="1" a="1"/>
  <c r="O121" i="1" s="1"/>
  <c r="M121" i="1"/>
  <c r="O120" i="1" a="1"/>
  <c r="O120" i="1" s="1"/>
  <c r="M120" i="1"/>
  <c r="O119" i="1" a="1"/>
  <c r="O119" i="1" s="1"/>
  <c r="M119" i="1"/>
  <c r="O118" i="1" a="1"/>
  <c r="O118" i="1" s="1"/>
  <c r="M118" i="1"/>
  <c r="O117" i="1" a="1"/>
  <c r="O117" i="1" s="1"/>
  <c r="M117" i="1"/>
  <c r="O116" i="1" a="1"/>
  <c r="O116" i="1" s="1"/>
  <c r="M116" i="1"/>
  <c r="O115" i="1" a="1"/>
  <c r="O115" i="1" s="1"/>
  <c r="M115" i="1"/>
  <c r="O114" i="1" a="1"/>
  <c r="O114" i="1" s="1"/>
  <c r="M114" i="1"/>
  <c r="O113" i="1" a="1"/>
  <c r="O113" i="1" s="1"/>
  <c r="M113" i="1"/>
  <c r="O112" i="1" a="1"/>
  <c r="O112" i="1" s="1"/>
  <c r="M112" i="1"/>
  <c r="O111" i="1" a="1"/>
  <c r="O111" i="1" s="1"/>
  <c r="M111" i="1"/>
  <c r="O110" i="1" a="1"/>
  <c r="O110" i="1" s="1"/>
  <c r="M110" i="1"/>
  <c r="O109" i="1" a="1"/>
  <c r="O109" i="1" s="1"/>
  <c r="M109" i="1"/>
  <c r="O108" i="1" a="1"/>
  <c r="O108" i="1" s="1"/>
  <c r="M108" i="1"/>
  <c r="O107" i="1" a="1"/>
  <c r="O107" i="1" s="1"/>
  <c r="M107" i="1"/>
  <c r="O106" i="1" a="1"/>
  <c r="O106" i="1" s="1"/>
  <c r="M106" i="1"/>
  <c r="O105" i="1" a="1"/>
  <c r="O105" i="1" s="1"/>
  <c r="M105" i="1"/>
  <c r="O104" i="1" a="1"/>
  <c r="O104" i="1" s="1"/>
  <c r="M104" i="1"/>
  <c r="O103" i="1" a="1"/>
  <c r="O103" i="1" s="1"/>
  <c r="M103" i="1"/>
  <c r="O102" i="1" a="1"/>
  <c r="O102" i="1" s="1"/>
  <c r="M102" i="1"/>
  <c r="O101" i="1" a="1"/>
  <c r="O101" i="1" s="1"/>
  <c r="M101" i="1"/>
  <c r="O100" i="1" a="1"/>
  <c r="O100" i="1" s="1"/>
  <c r="M100" i="1"/>
  <c r="O99" i="1" a="1"/>
  <c r="O99" i="1" s="1"/>
  <c r="M99" i="1"/>
  <c r="O98" i="1" a="1"/>
  <c r="O98" i="1" s="1"/>
  <c r="M98" i="1"/>
  <c r="O97" i="1" a="1"/>
  <c r="O97" i="1" s="1"/>
  <c r="M97" i="1"/>
  <c r="O96" i="1" a="1"/>
  <c r="O96" i="1" s="1"/>
  <c r="M96" i="1"/>
  <c r="O95" i="1" a="1"/>
  <c r="O95" i="1" s="1"/>
  <c r="M95" i="1"/>
  <c r="O94" i="1" a="1"/>
  <c r="O94" i="1" s="1"/>
  <c r="M94" i="1"/>
  <c r="O93" i="1" a="1"/>
  <c r="O93" i="1" s="1"/>
  <c r="M93" i="1"/>
  <c r="O92" i="1" a="1"/>
  <c r="O92" i="1" s="1"/>
  <c r="M92" i="1"/>
  <c r="O91" i="1" a="1"/>
  <c r="O91" i="1" s="1"/>
  <c r="M91" i="1"/>
  <c r="O90" i="1" a="1"/>
  <c r="O90" i="1" s="1"/>
  <c r="M90" i="1"/>
  <c r="O89" i="1" a="1"/>
  <c r="O89" i="1" s="1"/>
  <c r="M89" i="1"/>
  <c r="O88" i="1" a="1"/>
  <c r="O88" i="1" s="1"/>
  <c r="M88" i="1"/>
  <c r="O87" i="1" a="1"/>
  <c r="O87" i="1" s="1"/>
  <c r="M87" i="1"/>
  <c r="O86" i="1" a="1"/>
  <c r="O86" i="1" s="1"/>
  <c r="M86" i="1"/>
  <c r="O85" i="1" a="1"/>
  <c r="O85" i="1" s="1"/>
  <c r="M85" i="1"/>
  <c r="O84" i="1" a="1"/>
  <c r="O84" i="1" s="1"/>
  <c r="M84" i="1"/>
  <c r="O83" i="1" a="1"/>
  <c r="O83" i="1" s="1"/>
  <c r="M83" i="1"/>
  <c r="O82" i="1" a="1"/>
  <c r="O82" i="1" s="1"/>
  <c r="M82" i="1"/>
  <c r="O81" i="1" a="1"/>
  <c r="O81" i="1" s="1"/>
  <c r="M81" i="1"/>
  <c r="O80" i="1" a="1"/>
  <c r="O80" i="1" s="1"/>
  <c r="M80" i="1"/>
  <c r="O79" i="1" a="1"/>
  <c r="O79" i="1" s="1"/>
  <c r="M79" i="1"/>
  <c r="O78" i="1" a="1"/>
  <c r="O78" i="1" s="1"/>
  <c r="M78" i="1"/>
  <c r="O77" i="1" a="1"/>
  <c r="O77" i="1" s="1"/>
  <c r="M77" i="1"/>
  <c r="O76" i="1" a="1"/>
  <c r="O76" i="1" s="1"/>
  <c r="M76" i="1"/>
  <c r="O75" i="1" a="1"/>
  <c r="O75" i="1" s="1"/>
  <c r="M75" i="1"/>
  <c r="O74" i="1" a="1"/>
  <c r="O74" i="1" s="1"/>
  <c r="M74" i="1"/>
  <c r="O73" i="1" a="1"/>
  <c r="O73" i="1" s="1"/>
  <c r="M73" i="1"/>
  <c r="O72" i="1" a="1"/>
  <c r="O72" i="1" s="1"/>
  <c r="M72" i="1"/>
  <c r="O71" i="1" a="1"/>
  <c r="O71" i="1" s="1"/>
  <c r="M71" i="1"/>
  <c r="O70" i="1" a="1"/>
  <c r="O70" i="1" s="1"/>
  <c r="M70" i="1"/>
  <c r="O69" i="1" a="1"/>
  <c r="O69" i="1" s="1"/>
  <c r="M69" i="1"/>
  <c r="O68" i="1" a="1"/>
  <c r="O68" i="1" s="1"/>
  <c r="M68" i="1"/>
  <c r="O67" i="1" a="1"/>
  <c r="O67" i="1" s="1"/>
  <c r="M67" i="1"/>
  <c r="O66" i="1" a="1"/>
  <c r="O66" i="1" s="1"/>
  <c r="M66" i="1"/>
  <c r="O65" i="1" a="1"/>
  <c r="O65" i="1" s="1"/>
  <c r="M65" i="1"/>
  <c r="O64" i="1" a="1"/>
  <c r="O64" i="1" s="1"/>
  <c r="M64" i="1"/>
  <c r="O63" i="1" a="1"/>
  <c r="O63" i="1" s="1"/>
  <c r="M63" i="1"/>
  <c r="O62" i="1" a="1"/>
  <c r="O62" i="1" s="1"/>
  <c r="M62" i="1"/>
  <c r="O61" i="1" a="1"/>
  <c r="O61" i="1" s="1"/>
  <c r="M61" i="1"/>
  <c r="O60" i="1" a="1"/>
  <c r="O60" i="1" s="1"/>
  <c r="M60" i="1"/>
  <c r="O59" i="1" a="1"/>
  <c r="O59" i="1" s="1"/>
  <c r="M59" i="1"/>
  <c r="O58" i="1" a="1"/>
  <c r="O58" i="1" s="1"/>
  <c r="M58" i="1"/>
  <c r="O57" i="1" a="1"/>
  <c r="O57" i="1" s="1"/>
  <c r="M57" i="1"/>
  <c r="O56" i="1" a="1"/>
  <c r="O56" i="1" s="1"/>
  <c r="M56" i="1"/>
  <c r="O55" i="1" a="1"/>
  <c r="O55" i="1" s="1"/>
  <c r="M55" i="1"/>
  <c r="O54" i="1" a="1"/>
  <c r="O54" i="1" s="1"/>
  <c r="M54" i="1"/>
  <c r="O53" i="1" a="1"/>
  <c r="O53" i="1" s="1"/>
  <c r="M53" i="1"/>
  <c r="O52" i="1" a="1"/>
  <c r="O52" i="1" s="1"/>
  <c r="M52" i="1"/>
  <c r="O51" i="1" a="1"/>
  <c r="O51" i="1" s="1"/>
  <c r="M51" i="1"/>
  <c r="O50" i="1" a="1"/>
  <c r="O50" i="1" s="1"/>
  <c r="M50" i="1"/>
  <c r="O49" i="1" a="1"/>
  <c r="O49" i="1" s="1"/>
  <c r="M49" i="1"/>
  <c r="O48" i="1" a="1"/>
  <c r="O48" i="1" s="1"/>
  <c r="M48" i="1"/>
  <c r="O47" i="1" a="1"/>
  <c r="O47" i="1" s="1"/>
  <c r="M47" i="1"/>
  <c r="O46" i="1" a="1"/>
  <c r="O46" i="1" s="1"/>
  <c r="M46" i="1"/>
  <c r="O45" i="1" a="1"/>
  <c r="O45" i="1" s="1"/>
  <c r="M45" i="1"/>
  <c r="O44" i="1" a="1"/>
  <c r="O44" i="1" s="1"/>
  <c r="M44" i="1"/>
  <c r="O43" i="1" a="1"/>
  <c r="O43" i="1" s="1"/>
  <c r="M43" i="1"/>
  <c r="O42" i="1" a="1"/>
  <c r="O42" i="1" s="1"/>
  <c r="M42" i="1"/>
  <c r="O41" i="1" a="1"/>
  <c r="O41" i="1" s="1"/>
  <c r="M41" i="1"/>
  <c r="O40" i="1" a="1"/>
  <c r="O40" i="1" s="1"/>
  <c r="M40" i="1"/>
  <c r="O39" i="1" a="1"/>
  <c r="O39" i="1" s="1"/>
  <c r="M39" i="1"/>
  <c r="O38" i="1" a="1"/>
  <c r="O38" i="1" s="1"/>
  <c r="M38" i="1"/>
  <c r="O37" i="1" a="1"/>
  <c r="O37" i="1" s="1"/>
  <c r="M37" i="1"/>
  <c r="O36" i="1" a="1"/>
  <c r="O36" i="1" s="1"/>
  <c r="M36" i="1"/>
  <c r="O35" i="1" a="1"/>
  <c r="O35" i="1" s="1"/>
  <c r="M35" i="1"/>
  <c r="O34" i="1" a="1"/>
  <c r="O34" i="1" s="1"/>
  <c r="M34" i="1"/>
  <c r="O33" i="1" a="1"/>
  <c r="O33" i="1" s="1"/>
  <c r="M33" i="1"/>
  <c r="O32" i="1" a="1"/>
  <c r="O32" i="1" s="1"/>
  <c r="M32" i="1"/>
  <c r="O31" i="1" a="1"/>
  <c r="O31" i="1" s="1"/>
  <c r="M31" i="1"/>
  <c r="O30" i="1" a="1"/>
  <c r="O30" i="1" s="1"/>
  <c r="M30" i="1"/>
  <c r="O29" i="1" a="1"/>
  <c r="O29" i="1" s="1"/>
  <c r="M29" i="1"/>
  <c r="O28" i="1" a="1"/>
  <c r="O28" i="1" s="1"/>
  <c r="M28" i="1"/>
  <c r="O27" i="1" a="1"/>
  <c r="O27" i="1" s="1"/>
  <c r="M27" i="1"/>
  <c r="O26" i="1" a="1"/>
  <c r="O26" i="1" s="1"/>
  <c r="M26" i="1"/>
  <c r="O25" i="1" a="1"/>
  <c r="O25" i="1" s="1"/>
  <c r="M25" i="1"/>
  <c r="O24" i="1" a="1"/>
  <c r="O24" i="1" s="1"/>
  <c r="M24" i="1"/>
  <c r="O23" i="1" a="1"/>
  <c r="O23" i="1" s="1"/>
  <c r="M23" i="1"/>
  <c r="O22" i="1" a="1"/>
  <c r="O22" i="1" s="1"/>
  <c r="M22" i="1"/>
  <c r="O21" i="1" a="1"/>
  <c r="O21" i="1" s="1"/>
  <c r="M21" i="1"/>
  <c r="O20" i="1" a="1"/>
  <c r="O20" i="1" s="1"/>
  <c r="M20" i="1"/>
  <c r="O19" i="1" a="1"/>
  <c r="O19" i="1" s="1"/>
  <c r="M19" i="1"/>
  <c r="O18" i="1" a="1"/>
  <c r="O18" i="1" s="1"/>
  <c r="M18" i="1"/>
  <c r="O17" i="1" a="1"/>
  <c r="O17" i="1" s="1"/>
  <c r="M17" i="1"/>
  <c r="O16" i="1" a="1"/>
  <c r="O16" i="1" s="1"/>
  <c r="M16" i="1"/>
  <c r="O15" i="1" a="1"/>
  <c r="O15" i="1" s="1"/>
  <c r="M15" i="1"/>
  <c r="O14" i="1" a="1"/>
  <c r="O14" i="1" s="1"/>
  <c r="M14" i="1"/>
  <c r="O13" i="1" a="1"/>
  <c r="O13" i="1" s="1"/>
  <c r="M13" i="1"/>
  <c r="O12" i="1" a="1"/>
  <c r="O12" i="1" s="1"/>
  <c r="M12" i="1"/>
  <c r="O11" i="1" a="1"/>
  <c r="O11" i="1" s="1"/>
  <c r="M11" i="1"/>
  <c r="O10" i="1" a="1"/>
  <c r="O10" i="1" s="1"/>
  <c r="M10" i="1"/>
  <c r="O9" i="1" a="1"/>
  <c r="O9" i="1" s="1"/>
  <c r="M9" i="1"/>
  <c r="O8" i="1" a="1"/>
  <c r="O8" i="1" s="1"/>
  <c r="M8" i="1"/>
  <c r="O7" i="1" a="1"/>
  <c r="O7" i="1" s="1"/>
  <c r="M7" i="1"/>
  <c r="O6" i="1" a="1"/>
  <c r="O6" i="1" s="1"/>
  <c r="M6" i="1"/>
  <c r="O5" i="1" a="1"/>
  <c r="O5" i="1" s="1"/>
  <c r="M5" i="1"/>
  <c r="O4" i="1" a="1"/>
  <c r="O4" i="1" s="1"/>
  <c r="M4" i="1"/>
  <c r="O3" i="1" a="1"/>
  <c r="O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<sst xmlns="http://schemas.openxmlformats.org/spreadsheetml/2006/main" count="14649" uniqueCount="2612">
  <si>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</si>
  <si>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</si>
  <si>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</si>
  <si>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</si>
  <si>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</si>
  <si>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</si>
  <si>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</si>
  <si>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</si>
  <si>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</si>
  <si>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</si>
  <si>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</si>
  <si>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</si>
  <si>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</si>
  <si>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</si>
  <si>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</si>
  <si>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</si>
  <si>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</si>
  <si>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</si>
  <si>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</si>
  <si>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</si>
  <si>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</si>
  <si>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</si>
  <si>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</si>
  <si>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</si>
  <si>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</si>
  <si>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</si>
  <si>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</si>
  <si>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</si>
  <si>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</si>
  <si>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</si>
  <si>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</si>
  <si>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</si>
  <si>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</si>
  <si>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</si>
  <si>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</si>
  <si>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</si>
  <si>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</si>
  <si>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</si>
  <si>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</si>
  <si>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</si>
  <si>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</si>
  <si>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</si>
  <si>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</si>
  <si>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</si>
  <si>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</si>
  <si>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</si>
  <si>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</si>
  <si>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</si>
  <si>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</si>
  <si>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</si>
  <si>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</si>
  <si>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</si>
  <si>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</si>
  <si>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</si>
  <si>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</si>
  <si>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</si>
  <si>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</si>
  <si>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</si>
  <si>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</si>
  <si>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</si>
  <si>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</si>
  <si>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</si>
  <si>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</si>
  <si>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</si>
  <si>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</si>
  <si>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</si>
  <si>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</si>
  <si>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</si>
  <si>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</si>
  <si>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</si>
  <si>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</si>
  <si>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</si>
  <si>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</si>
  <si>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</si>
  <si>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</si>
  <si>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</si>
  <si>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</si>
  <si>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</si>
  <si>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</si>
  <si>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</si>
  <si>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</si>
  <si>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</si>
  <si>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</si>
  <si>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</si>
  <si>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</si>
  <si>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</si>
  <si>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</si>
  <si>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</si>
  <si>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</si>
  <si>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</si>
  <si>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</si>
  <si>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</si>
  <si>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</si>
  <si>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</si>
  <si>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</si>
  <si>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</si>
  <si>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</si>
  <si>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</si>
  <si>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</si>
  <si>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</si>
  <si>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</si>
  <si>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</si>
  <si>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</si>
  <si>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</si>
  <si>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</si>
  <si>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</si>
  <si>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</si>
  <si>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</si>
  <si>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</si>
  <si>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</si>
  <si>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</si>
  <si>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</si>
  <si>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</si>
  <si>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</si>
  <si>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</si>
  <si>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</si>
  <si>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</si>
  <si>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</si>
  <si>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</si>
  <si>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</si>
  <si>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</si>
  <si>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</si>
  <si>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</si>
  <si>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</si>
  <si>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</si>
  <si>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</si>
  <si>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</si>
  <si>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</si>
  <si>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</si>
  <si>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</si>
  <si>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</si>
  <si>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</si>
  <si>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</si>
  <si>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</si>
  <si>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</si>
  <si>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</si>
  <si>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</si>
  <si>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</si>
  <si>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</si>
  <si>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</si>
  <si>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</si>
  <si>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</si>
  <si>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</si>
  <si>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</si>
  <si>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</si>
  <si>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</si>
  <si>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</si>
  <si>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</si>
  <si>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</si>
  <si>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</si>
  <si>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</si>
  <si>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</si>
  <si>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</si>
  <si>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</si>
  <si>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</si>
  <si>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</si>
  <si>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</si>
  <si>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</si>
  <si>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</si>
  <si>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</si>
  <si>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</si>
  <si>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</si>
  <si>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</si>
  <si>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</si>
  <si>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</si>
  <si>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</si>
  <si>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</si>
  <si>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</si>
  <si>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</si>
  <si>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</si>
  <si>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</si>
  <si>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</si>
  <si>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</si>
  <si>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</si>
  <si>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</si>
  <si>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</si>
  <si>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</si>
  <si>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</si>
  <si>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</si>
  <si>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</si>
  <si>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</si>
  <si>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</si>
  <si>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</si>
  <si>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</si>
  <si>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</si>
  <si>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</si>
  <si>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</si>
  <si>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</si>
  <si>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</si>
  <si>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</si>
  <si>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</si>
  <si>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</si>
  <si>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</si>
  <si>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</si>
  <si>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</si>
  <si>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</si>
  <si>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</si>
  <si>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</si>
  <si>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</si>
  <si>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</si>
  <si>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</si>
  <si>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</si>
  <si>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</si>
  <si>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</si>
  <si>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</si>
  <si>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</si>
  <si>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</si>
  <si>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</si>
  <si>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</si>
  <si>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</si>
  <si>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</si>
  <si>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</si>
  <si>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</si>
  <si>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</si>
  <si>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</si>
  <si>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</si>
  <si>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</si>
  <si>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</si>
  <si>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</si>
  <si>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</si>
  <si>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</si>
  <si>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</si>
  <si>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</si>
  <si>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</si>
  <si>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</si>
  <si>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</si>
  <si>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</si>
  <si>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</si>
  <si>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</si>
  <si>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</si>
  <si>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</si>
  <si>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</si>
  <si>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</si>
  <si>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</si>
  <si>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</si>
  <si>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</si>
  <si>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</si>
  <si>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</si>
  <si>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</si>
  <si>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</si>
  <si>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</si>
  <si>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</si>
  <si>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</si>
  <si>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</si>
  <si>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</si>
  <si>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</si>
  <si>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</si>
  <si>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</si>
  <si>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</si>
  <si>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</si>
  <si>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</si>
  <si>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</si>
  <si>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</si>
  <si>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</si>
  <si>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</si>
  <si>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</si>
  <si>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</si>
  <si>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</si>
  <si>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</si>
  <si>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</si>
  <si>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</si>
  <si>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</si>
  <si>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</si>
  <si>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</si>
  <si>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</si>
  <si>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</si>
  <si>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</si>
  <si>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</si>
  <si>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</si>
  <si>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</si>
  <si>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</si>
  <si>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</si>
  <si>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</si>
  <si>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</si>
  <si>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</si>
  <si>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</si>
  <si>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</si>
  <si>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</si>
  <si>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</si>
  <si>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</si>
  <si>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</si>
  <si>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</si>
  <si>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</si>
  <si>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</si>
  <si>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</si>
  <si>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</si>
  <si>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</si>
  <si>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</si>
  <si>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</si>
  <si>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</si>
  <si>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</si>
  <si>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</si>
  <si>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</si>
  <si>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</si>
  <si>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</si>
  <si>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</si>
  <si>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</si>
  <si>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</si>
  <si>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</si>
  <si>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</si>
  <si>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</si>
  <si>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</si>
  <si>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</si>
  <si>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</si>
  <si>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</si>
  <si>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</si>
  <si>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</si>
  <si>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</si>
  <si>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</si>
  <si>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</si>
  <si>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</si>
  <si>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</si>
  <si>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</si>
  <si>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</si>
  <si>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</si>
  <si>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</si>
  <si>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</si>
  <si>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</si>
  <si>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</si>
  <si>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</si>
  <si>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</si>
  <si>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</si>
  <si>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</si>
  <si>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</si>
  <si>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</si>
  <si>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</si>
  <si>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</si>
  <si>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</si>
  <si>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</si>
  <si>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</si>
  <si>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</si>
  <si>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</si>
  <si>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</si>
  <si>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</si>
  <si>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</si>
  <si>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</si>
  <si>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</si>
  <si>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</si>
  <si>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</si>
  <si>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</si>
  <si>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</si>
  <si>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</si>
  <si>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</si>
  <si>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</si>
  <si>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</si>
  <si>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</si>
  <si>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</si>
  <si>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</si>
  <si>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</si>
  <si>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</si>
  <si>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</si>
  <si>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</si>
  <si>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</si>
  <si>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</si>
  <si>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</si>
  <si>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</si>
  <si>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</si>
  <si>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</si>
  <si>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</si>
  <si>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</si>
  <si>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</si>
  <si>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</si>
  <si>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</si>
  <si>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</si>
  <si>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</si>
  <si>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</si>
  <si>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</si>
  <si>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</si>
  <si>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</si>
  <si>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</si>
  <si>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</si>
  <si>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</si>
  <si>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</si>
  <si>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</si>
  <si>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</si>
  <si>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</si>
  <si>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</si>
  <si>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</si>
  <si>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</si>
  <si>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</si>
  <si>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</si>
  <si>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</si>
  <si>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</si>
  <si>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</si>
  <si>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</si>
  <si>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</si>
  <si>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</si>
  <si>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</si>
  <si>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</si>
  <si>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</si>
  <si>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</si>
  <si>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</si>
  <si>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</si>
  <si>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</si>
  <si>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</si>
  <si>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</si>
  <si>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</si>
  <si>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</si>
  <si>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</si>
  <si>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</si>
  <si>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</si>
  <si>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</si>
  <si>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</si>
  <si>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</si>
  <si>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</si>
  <si>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</si>
  <si>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</si>
  <si>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</si>
  <si>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</si>
  <si>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</si>
  <si>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</si>
  <si>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</si>
  <si>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</si>
  <si>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</si>
  <si>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</si>
  <si>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</si>
  <si>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</si>
  <si>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</si>
  <si>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</si>
  <si>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</si>
  <si>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</si>
  <si>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</si>
  <si>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</si>
  <si>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</si>
  <si>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</si>
  <si>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</si>
  <si>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</si>
  <si>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</si>
  <si>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</si>
  <si>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</si>
  <si>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</si>
  <si>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</si>
  <si>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</si>
  <si>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</si>
  <si>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</si>
  <si>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</si>
  <si>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</si>
  <si>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</si>
  <si>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</si>
  <si>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</si>
  <si>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</si>
  <si>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</si>
  <si>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</si>
  <si>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</si>
  <si>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</si>
  <si>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</si>
  <si>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</si>
  <si>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</si>
  <si>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</si>
  <si>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</si>
  <si>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</si>
  <si>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</si>
  <si>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</si>
  <si>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</si>
  <si>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</si>
  <si>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</si>
  <si>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</si>
  <si>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</si>
  <si>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</si>
  <si>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</si>
  <si>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</si>
  <si>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</si>
  <si>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</si>
  <si>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</si>
  <si>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</si>
  <si>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</si>
  <si>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</si>
  <si>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</si>
  <si>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</si>
  <si>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</si>
  <si>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</si>
  <si>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</si>
  <si>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</si>
  <si>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</si>
  <si>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</si>
  <si>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</si>
  <si>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</si>
  <si>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</si>
  <si>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</si>
  <si>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</si>
  <si>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</si>
  <si>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</si>
  <si>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</si>
  <si>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</si>
  <si>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</si>
  <si>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</si>
  <si>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</si>
  <si>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</si>
  <si>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</si>
  <si>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</si>
  <si>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</si>
  <si>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</si>
  <si>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</si>
  <si>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</si>
  <si>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</si>
  <si>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</si>
  <si>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</si>
  <si>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</si>
  <si>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</si>
  <si>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</si>
  <si>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</si>
  <si>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</si>
  <si>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</si>
  <si>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</si>
  <si>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</si>
  <si>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</si>
  <si>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</si>
  <si>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</si>
  <si>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</si>
  <si>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</si>
  <si>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</si>
  <si>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</si>
  <si>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</si>
  <si>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</si>
  <si>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</si>
  <si>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</si>
  <si>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</si>
  <si>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</si>
  <si>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</si>
  <si>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</si>
  <si>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</si>
  <si>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</si>
  <si>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</si>
  <si>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</si>
  <si>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</si>
  <si>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</si>
  <si>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</si>
  <si>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</si>
  <si>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</si>
  <si>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</si>
  <si>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</si>
  <si>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</si>
  <si>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</si>
  <si>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</si>
  <si>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</si>
  <si>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</si>
  <si>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</si>
  <si>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</si>
  <si>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</si>
  <si>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</si>
  <si>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</si>
  <si>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</si>
  <si>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</si>
  <si>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</si>
  <si>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</si>
  <si>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</si>
  <si>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</si>
  <si>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</si>
  <si>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</si>
  <si>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</si>
  <si>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</si>
  <si>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</si>
  <si>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</si>
  <si>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</si>
  <si>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</si>
  <si>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</si>
  <si>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</si>
  <si>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</si>
  <si>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</si>
  <si>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</si>
  <si>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</si>
  <si>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</si>
  <si>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</si>
  <si>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</si>
  <si>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</si>
  <si>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</si>
  <si>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</si>
  <si>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</si>
  <si>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</si>
  <si>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</si>
  <si>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</si>
  <si>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</si>
  <si>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</si>
  <si>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</si>
  <si>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</si>
  <si>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</si>
  <si>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</si>
  <si>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</si>
  <si>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</si>
  <si>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</si>
  <si>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</si>
  <si>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</si>
  <si>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</si>
  <si>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</si>
  <si>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</si>
  <si>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</si>
  <si>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</si>
  <si>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</si>
  <si>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</si>
  <si>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</si>
  <si>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</si>
  <si>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</si>
  <si>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</si>
  <si>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</si>
  <si>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</si>
  <si>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</si>
  <si>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</si>
  <si>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</si>
  <si>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</si>
  <si>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</si>
  <si>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</si>
  <si>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</si>
  <si>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</si>
  <si>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</si>
  <si>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</si>
  <si>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</si>
  <si>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</si>
  <si>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</si>
  <si>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</si>
  <si>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</si>
  <si>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</si>
  <si>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</si>
  <si>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</si>
  <si>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</si>
  <si>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</si>
  <si>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</si>
  <si>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</si>
  <si>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</si>
  <si>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</si>
  <si>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</si>
  <si>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</si>
  <si>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</si>
  <si>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</si>
  <si>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</si>
  <si>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</si>
  <si>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</si>
  <si>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</si>
  <si>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</si>
  <si>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</si>
  <si>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</si>
  <si>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</si>
  <si>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</si>
  <si>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</si>
  <si>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</si>
  <si>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</si>
  <si>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</si>
  <si>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</si>
  <si>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</si>
  <si>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</si>
  <si>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</si>
  <si>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</si>
  <si>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</si>
  <si>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</si>
  <si>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</si>
  <si>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</si>
  <si>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</si>
  <si>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</si>
  <si>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</si>
  <si>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</si>
  <si>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</si>
  <si>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</si>
  <si>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</si>
  <si>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</si>
  <si>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</si>
  <si>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</si>
  <si>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</si>
  <si>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</si>
  <si>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</si>
  <si>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</si>
  <si>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</si>
  <si>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</si>
  <si>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</si>
  <si>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</si>
  <si>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</si>
  <si>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</si>
  <si>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</si>
  <si>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</si>
  <si>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</si>
  <si>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</si>
  <si>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</si>
  <si>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</si>
  <si>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</si>
  <si>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</si>
  <si>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</si>
  <si>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</si>
  <si>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</si>
  <si>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</si>
  <si>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</si>
  <si>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</si>
  <si>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</si>
  <si>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</si>
  <si>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</si>
  <si>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</si>
  <si>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</si>
  <si>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</si>
  <si>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</si>
  <si>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</si>
  <si>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</si>
  <si>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</si>
  <si>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</si>
  <si>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</si>
  <si>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</si>
  <si>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</si>
  <si>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</si>
  <si>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</si>
  <si>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</si>
  <si>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</si>
  <si>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</si>
  <si>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</si>
  <si>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</si>
  <si>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</si>
  <si>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</si>
  <si>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</si>
  <si>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</si>
  <si>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</si>
  <si>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</si>
  <si>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</si>
  <si>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</si>
  <si>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</si>
  <si>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</si>
  <si>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</si>
  <si>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</si>
  <si>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</si>
  <si>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</si>
  <si>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</si>
  <si>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</si>
  <si>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</si>
  <si>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</si>
  <si>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</si>
  <si>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</si>
  <si>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</si>
  <si>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</si>
  <si>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</si>
  <si>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</si>
  <si>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</si>
  <si>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</si>
  <si>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</si>
  <si>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</si>
  <si>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</si>
  <si>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</si>
  <si>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</si>
  <si>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</si>
  <si>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</si>
  <si>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</si>
  <si>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</si>
  <si>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</si>
  <si>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</si>
  <si>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</si>
  <si>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</si>
  <si>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</si>
  <si>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</si>
  <si>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</si>
  <si>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</si>
  <si>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</si>
  <si>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</si>
  <si>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</si>
  <si>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</si>
  <si>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</si>
  <si>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</si>
  <si>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</si>
  <si>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</si>
  <si>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</si>
  <si>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</si>
  <si>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</si>
  <si>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</si>
  <si>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</si>
  <si>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</si>
  <si>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</si>
  <si>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</si>
  <si>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</si>
  <si>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</si>
  <si>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</si>
  <si>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</si>
  <si>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</si>
  <si>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</si>
  <si>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</si>
  <si>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</si>
  <si>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</si>
  <si>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</si>
  <si>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</si>
  <si>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</si>
  <si>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</si>
  <si>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</si>
  <si>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</si>
  <si>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</si>
  <si>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</si>
  <si>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</si>
  <si>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</si>
  <si>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</si>
  <si>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</si>
  <si>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</si>
  <si>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</si>
  <si>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</si>
  <si>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</si>
  <si>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</si>
  <si>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</si>
  <si>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</si>
  <si>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</si>
  <si>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</si>
  <si>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</si>
  <si>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</si>
  <si>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</si>
  <si>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</si>
  <si>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</si>
  <si>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</si>
  <si>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</si>
  <si>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</si>
  <si>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</si>
  <si>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</si>
  <si>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</si>
  <si>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</si>
  <si>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</si>
  <si>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</si>
  <si>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</si>
  <si>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</si>
  <si>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</si>
  <si>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</si>
  <si>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</si>
  <si>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</si>
  <si>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</si>
  <si>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</si>
  <si>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</si>
  <si>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</si>
  <si>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</si>
  <si>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</si>
  <si>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</si>
  <si>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</si>
  <si>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</si>
  <si>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</si>
  <si>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</si>
  <si>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</si>
  <si>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</si>
  <si>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</si>
  <si>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</si>
  <si>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</si>
  <si>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</si>
  <si>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</si>
  <si>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</si>
  <si>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</si>
  <si>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</si>
  <si>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</si>
  <si>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</si>
  <si>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</si>
  <si>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</si>
  <si>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</si>
  <si>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</si>
  <si>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</si>
  <si>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</si>
  <si>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</si>
  <si>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</si>
  <si>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</si>
  <si>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</si>
  <si>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</si>
  <si>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</si>
  <si>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</si>
  <si>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</si>
  <si>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</si>
  <si>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</si>
  <si>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</si>
  <si>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</si>
  <si>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</si>
  <si>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</si>
  <si>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</si>
  <si>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</si>
  <si>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</si>
  <si>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</si>
  <si>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</si>
  <si>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</si>
  <si>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</si>
  <si>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</si>
  <si>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</si>
  <si>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</si>
  <si>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</si>
  <si>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</si>
  <si>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</si>
  <si>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</si>
  <si>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</si>
  <si>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</si>
  <si>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</si>
  <si>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</si>
  <si>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</si>
  <si>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</si>
  <si>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</si>
  <si>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</si>
  <si>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</si>
  <si>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</si>
  <si>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</si>
  <si>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</si>
  <si>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</si>
  <si>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</si>
  <si>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</si>
  <si>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</si>
  <si>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</si>
  <si>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</si>
  <si>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</si>
  <si>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</si>
  <si>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</si>
  <si>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</si>
  <si>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</si>
  <si>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</si>
  <si>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</si>
  <si>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</si>
  <si>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</si>
  <si>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</si>
  <si>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</si>
  <si>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</si>
  <si>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</si>
  <si>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</si>
  <si>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</si>
  <si>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</si>
  <si>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</si>
  <si>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</si>
  <si>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</si>
  <si>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</si>
  <si>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</si>
  <si>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</si>
  <si>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</si>
  <si>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</si>
  <si>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</si>
  <si>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</si>
  <si>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</si>
  <si>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</si>
  <si>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</si>
  <si>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</si>
  <si>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</si>
  <si>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</si>
  <si>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</si>
  <si>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</si>
  <si>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</si>
  <si>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</si>
  <si>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</si>
  <si>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</si>
  <si>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</si>
  <si>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</si>
  <si>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</si>
  <si>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</si>
  <si>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</si>
  <si>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</si>
  <si>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</si>
  <si>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</si>
  <si>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</si>
  <si>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</si>
  <si>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</si>
  <si>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</si>
  <si>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</si>
  <si>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</si>
  <si>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</si>
  <si>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</si>
  <si>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</si>
  <si>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</si>
  <si>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</si>
  <si>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</si>
  <si>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</si>
  <si>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</si>
  <si>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</si>
  <si>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</si>
  <si>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</si>
  <si>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</si>
  <si>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</si>
  <si>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</si>
  <si>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</si>
  <si>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</si>
  <si>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</si>
  <si>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</si>
  <si>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</si>
  <si>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</si>
  <si>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</si>
  <si>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</si>
  <si>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</si>
  <si>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</si>
  <si>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</si>
  <si>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</si>
  <si>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</si>
  <si>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</si>
  <si>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</si>
  <si>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</si>
  <si>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</si>
  <si>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</si>
  <si>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</si>
  <si>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</si>
  <si>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</si>
  <si>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</si>
  <si>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</si>
  <si>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</si>
  <si>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</si>
  <si>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</si>
  <si>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</si>
  <si>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</si>
  <si>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</si>
  <si>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</si>
  <si>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</si>
  <si>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</si>
  <si>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</si>
  <si>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</si>
  <si>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</si>
  <si>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</si>
  <si>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</si>
  <si>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</si>
  <si>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</si>
  <si>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</si>
  <si>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</si>
  <si>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</si>
  <si>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</si>
  <si>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</si>
  <si>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</si>
  <si>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</si>
  <si>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</si>
  <si>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</si>
  <si>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</si>
  <si>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</si>
  <si>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</si>
  <si>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</si>
  <si>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</si>
  <si>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</si>
  <si>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</si>
  <si>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</si>
  <si>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</si>
  <si>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</si>
  <si>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</si>
  <si>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</si>
  <si>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</si>
  <si>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</si>
  <si>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</si>
  <si>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</si>
  <si>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</si>
  <si>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</si>
  <si>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</si>
  <si>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</si>
  <si>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</si>
  <si>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</si>
  <si>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</si>
  <si>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</si>
  <si>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</si>
  <si>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</si>
  <si>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</si>
  <si>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</si>
  <si>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</si>
  <si>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</si>
  <si>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</si>
  <si>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</si>
  <si>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</si>
  <si>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</si>
  <si>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</si>
  <si>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</si>
  <si>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</si>
  <si>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</si>
  <si>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</si>
  <si>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</si>
  <si>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</si>
  <si>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</si>
  <si>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</si>
  <si>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</si>
  <si>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</si>
  <si>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</si>
  <si>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</si>
  <si>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</si>
  <si>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</si>
  <si>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</si>
  <si>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</si>
  <si>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</si>
  <si>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</si>
  <si>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</si>
  <si>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</si>
  <si>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</si>
  <si>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</si>
  <si>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</si>
  <si>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</si>
  <si>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</si>
  <si>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</si>
  <si>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</si>
  <si>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</si>
  <si>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</si>
  <si>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</si>
  <si>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</si>
  <si>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</si>
  <si>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</si>
  <si>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</si>
  <si>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</si>
  <si>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</si>
  <si>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</si>
  <si>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</si>
  <si>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</si>
  <si>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</si>
  <si>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</si>
  <si>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</si>
  <si>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</si>
  <si>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</si>
  <si>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</si>
  <si>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</si>
  <si>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</si>
  <si>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</si>
  <si>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</si>
  <si>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</si>
  <si>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</si>
  <si>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</si>
  <si>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</si>
  <si>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</si>
  <si>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</si>
  <si>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</si>
  <si>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</si>
  <si>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</si>
  <si>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</si>
  <si>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</si>
  <si>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</si>
  <si>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</si>
  <si>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</si>
  <si>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</si>
  <si>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</si>
  <si>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</si>
  <si>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</si>
  <si>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</si>
  <si>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</si>
  <si>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</si>
  <si>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</si>
  <si>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</si>
  <si>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</si>
  <si>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</si>
  <si>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</si>
  <si>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</si>
  <si>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</si>
  <si>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</si>
  <si>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</si>
  <si>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</si>
  <si>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</si>
  <si>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</si>
  <si>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</si>
  <si>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</si>
  <si>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</si>
  <si>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</si>
  <si>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</si>
  <si>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</si>
  <si>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</si>
  <si>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</si>
  <si>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</si>
  <si>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</si>
  <si>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</si>
  <si>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</si>
  <si>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</si>
  <si>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</si>
  <si>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</si>
  <si>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</si>
  <si>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</si>
  <si>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</si>
  <si>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</si>
  <si>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</si>
  <si>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</si>
  <si>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</si>
  <si>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</si>
  <si>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</si>
  <si>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</si>
  <si>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</si>
  <si>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</si>
  <si>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</si>
  <si>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</si>
  <si>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</si>
  <si>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</si>
  <si>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</si>
  <si>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</si>
  <si>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</si>
  <si>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</si>
  <si>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</si>
  <si>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</si>
  <si>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</si>
  <si>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</si>
  <si>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</si>
  <si>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</si>
  <si>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</si>
  <si>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</si>
  <si>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</si>
  <si>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</si>
  <si>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</si>
  <si>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</si>
  <si>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</si>
  <si>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</si>
  <si>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</si>
  <si>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</si>
  <si>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</si>
  <si>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</si>
  <si>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</si>
  <si>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</si>
  <si>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</si>
  <si>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</si>
  <si>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</si>
  <si>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</si>
  <si>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</si>
  <si>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</si>
  <si>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</si>
  <si>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</si>
  <si>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</si>
  <si>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</si>
  <si>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</si>
  <si>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</si>
  <si>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</si>
  <si>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</si>
  <si>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</si>
  <si>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</si>
  <si>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</si>
  <si>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</si>
  <si>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</si>
  <si>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</si>
  <si>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</si>
  <si>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</si>
  <si>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</si>
  <si>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</si>
  <si>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</si>
  <si>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</si>
  <si>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</si>
  <si>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</si>
  <si>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</si>
  <si>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</si>
  <si>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</si>
  <si>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</si>
  <si>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</si>
  <si>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</si>
  <si>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</si>
  <si>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</si>
  <si>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</si>
  <si>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</si>
  <si>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</si>
  <si>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</si>
  <si>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</si>
  <si>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</si>
  <si>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</si>
  <si>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</si>
  <si>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</si>
  <si>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</si>
  <si>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</si>
  <si>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</si>
  <si>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</si>
  <si>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</si>
  <si>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</si>
  <si>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</si>
  <si>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</si>
  <si>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</si>
  <si>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</si>
  <si>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</si>
  <si>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</si>
  <si>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</si>
  <si>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</si>
  <si>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</si>
  <si>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</si>
  <si>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</si>
  <si>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</si>
  <si>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</si>
  <si>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</si>
  <si>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</si>
  <si>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</si>
  <si>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</si>
  <si>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</si>
  <si>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</si>
  <si>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</si>
  <si>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</si>
  <si>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</si>
  <si>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</si>
  <si>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</si>
  <si>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</si>
  <si>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</si>
  <si>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</si>
  <si>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</si>
  <si>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</si>
  <si>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</si>
  <si>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</si>
  <si>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</si>
  <si>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</si>
  <si>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</si>
  <si>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</si>
  <si>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</si>
  <si>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</si>
  <si>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</si>
  <si>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</si>
  <si>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</si>
  <si>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</si>
  <si>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</si>
  <si>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</si>
  <si>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</si>
  <si>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</si>
  <si>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</si>
  <si>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</si>
  <si>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</si>
  <si>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</si>
  <si>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</si>
  <si>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</si>
  <si>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</si>
  <si>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</si>
  <si>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</si>
  <si>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</si>
  <si>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</si>
  <si>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</si>
  <si>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</si>
  <si>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</si>
  <si>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</si>
  <si>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</si>
  <si>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</si>
  <si>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</si>
  <si>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</si>
  <si>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</si>
  <si>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</si>
  <si>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</si>
  <si>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</si>
  <si>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</si>
  <si>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</si>
  <si>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</si>
  <si>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</si>
  <si>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</si>
  <si>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</si>
  <si>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</si>
  <si>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</si>
  <si>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</si>
  <si>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</si>
  <si>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</si>
  <si>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</si>
  <si>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</si>
  <si>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</si>
  <si>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</si>
  <si>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</si>
  <si>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</si>
  <si>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</si>
  <si>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</si>
  <si>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</si>
  <si>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</si>
  <si>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</si>
  <si>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</si>
  <si>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</si>
  <si>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</si>
  <si>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</si>
  <si>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</si>
  <si>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</si>
  <si>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</si>
  <si>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</si>
  <si>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</si>
  <si>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</si>
  <si>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</si>
  <si>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</si>
  <si>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</si>
  <si>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</si>
  <si>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</si>
  <si>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</si>
  <si>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</si>
  <si>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</si>
  <si>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</si>
  <si>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</si>
  <si>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</si>
  <si>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</si>
  <si>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</si>
  <si>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</si>
  <si>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</si>
  <si>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</si>
  <si>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</si>
  <si>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</si>
  <si>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</si>
  <si>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</si>
  <si>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</si>
  <si>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</si>
  <si>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</si>
  <si>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</si>
  <si>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</si>
  <si>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</si>
  <si>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</si>
  <si>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</si>
  <si>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</si>
  <si>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</si>
  <si>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</si>
  <si>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</si>
  <si>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</si>
  <si>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</si>
  <si>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</si>
  <si>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</si>
  <si>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</si>
  <si>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</si>
  <si>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</si>
  <si>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</si>
  <si>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</si>
  <si>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</si>
  <si>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</si>
  <si>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</si>
  <si>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</si>
  <si>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</si>
  <si>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</si>
  <si>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</si>
  <si>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</si>
  <si>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</si>
  <si>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</si>
  <si>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</si>
  <si>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</si>
  <si>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</si>
  <si>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</si>
  <si>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</si>
  <si>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</si>
  <si>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</si>
  <si>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</si>
  <si>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</si>
  <si>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</si>
  <si>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</si>
  <si>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</si>
  <si>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</si>
  <si>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</si>
  <si>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</si>
  <si>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</si>
  <si>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</si>
  <si>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</si>
  <si>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</si>
  <si>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</si>
  <si>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</si>
  <si>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</si>
  <si>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</si>
  <si>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</si>
  <si>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</si>
  <si>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</si>
  <si>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</si>
  <si>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</si>
  <si>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</si>
  <si>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</si>
  <si>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</si>
  <si>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</si>
  <si>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</si>
  <si>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</si>
  <si>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</si>
  <si>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</si>
  <si>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</si>
  <si>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</si>
  <si>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</si>
  <si>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</si>
  <si>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</si>
  <si>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</si>
  <si>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</si>
  <si>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</si>
  <si>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</si>
  <si>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</si>
  <si>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</si>
  <si>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</si>
  <si>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</si>
  <si>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</si>
  <si>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</si>
  <si>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</si>
  <si>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</si>
  <si>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</si>
  <si>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</si>
  <si>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</si>
  <si>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</si>
  <si>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</si>
  <si>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</si>
  <si>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</si>
  <si>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</si>
  <si>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</si>
  <si>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</si>
  <si>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</si>
  <si>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</si>
  <si>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</si>
  <si>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</si>
  <si>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</si>
  <si>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</si>
  <si>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</si>
  <si>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</si>
  <si>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</si>
  <si>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</si>
  <si>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</si>
  <si>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</si>
  <si>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</si>
  <si>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</si>
  <si>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</si>
  <si>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</si>
  <si>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</si>
  <si>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</si>
  <si>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</si>
  <si>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</si>
  <si>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</si>
  <si>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</si>
  <si>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</si>
  <si>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</si>
  <si>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</si>
  <si>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</si>
  <si>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</si>
  <si>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</si>
  <si>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</si>
  <si>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</si>
  <si>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</si>
  <si>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</si>
  <si>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</si>
  <si>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</si>
  <si>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</si>
  <si>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</si>
  <si>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</si>
  <si>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</si>
  <si>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</si>
  <si>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</si>
  <si>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</si>
  <si>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</si>
  <si>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</si>
  <si>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</si>
  <si>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</si>
  <si>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</si>
  <si>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</si>
  <si>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</si>
  <si>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</si>
  <si>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</si>
  <si>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</si>
  <si>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</si>
  <si>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</si>
  <si>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</si>
  <si>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</si>
  <si>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</si>
  <si>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</si>
  <si>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</si>
  <si>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</si>
  <si>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</si>
  <si>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</si>
  <si>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</si>
  <si>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</si>
  <si>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</si>
  <si>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</si>
  <si>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</si>
  <si>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</si>
  <si>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</si>
  <si>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</si>
  <si>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</si>
  <si>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</si>
  <si>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</si>
  <si>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</si>
  <si>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</si>
  <si>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</si>
  <si>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</si>
  <si>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</si>
  <si>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</si>
  <si>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</si>
  <si>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</si>
  <si>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</si>
  <si>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</si>
  <si>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</si>
  <si>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</si>
  <si>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</si>
  <si>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</si>
  <si>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</si>
  <si>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</si>
  <si>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</si>
  <si>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</si>
  <si>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</si>
  <si>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</si>
  <si>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</si>
  <si>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</si>
  <si>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</si>
  <si>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</si>
  <si>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</si>
  <si>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</si>
  <si>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</si>
  <si>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</si>
  <si>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</si>
  <si>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</si>
  <si>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</si>
  <si>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</si>
  <si>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</si>
  <si>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</si>
  <si>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</si>
  <si>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</si>
  <si>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</si>
  <si>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</si>
  <si>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</si>
  <si>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</si>
  <si>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</si>
  <si>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</si>
  <si>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</si>
  <si>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</si>
  <si>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</si>
  <si>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</si>
  <si>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</si>
  <si>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</si>
  <si>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</si>
  <si>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</si>
  <si>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</si>
  <si>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</si>
  <si>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</si>
  <si>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</si>
  <si>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</si>
  <si>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</si>
  <si>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</si>
  <si>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</si>
  <si>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</si>
  <si>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</si>
  <si>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</si>
  <si>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</si>
  <si>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</si>
  <si>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</si>
  <si>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</si>
  <si>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</si>
  <si>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</si>
  <si>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</si>
  <si>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</si>
  <si>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</si>
  <si>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</si>
  <si>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</si>
  <si>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</si>
  <si>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</si>
  <si>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</si>
  <si>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</si>
  <si>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</si>
  <si>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</si>
  <si>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</si>
  <si>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</si>
  <si>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</si>
  <si>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</si>
  <si>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</si>
  <si>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</si>
  <si>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</si>
  <si>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</si>
  <si>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</si>
  <si>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</si>
  <si>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</si>
  <si>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</si>
  <si>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</si>
  <si>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</si>
  <si>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</si>
  <si>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</si>
  <si>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</si>
  <si>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</si>
  <si>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</si>
  <si>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</si>
  <si>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</si>
  <si>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</si>
  <si>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</si>
  <si>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</si>
  <si>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</si>
  <si>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</si>
  <si>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</si>
  <si>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</si>
  <si>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</si>
  <si>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</si>
  <si>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</si>
  <si>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</si>
  <si>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</si>
  <si>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</si>
  <si>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</si>
  <si>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</si>
  <si>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</si>
  <si>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</si>
  <si>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</si>
  <si>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</si>
  <si>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</si>
  <si>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</si>
  <si>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</si>
  <si>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</si>
  <si>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</si>
  <si>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</si>
  <si>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</si>
  <si>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</si>
  <si>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</si>
  <si>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</si>
  <si>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</si>
  <si>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</si>
  <si>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</si>
  <si>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</si>
  <si>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</si>
  <si>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</si>
  <si>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</si>
  <si>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</si>
  <si>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</si>
  <si>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</si>
  <si>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</si>
  <si>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</si>
  <si>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</si>
  <si>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</si>
  <si>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</si>
  <si>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</si>
  <si>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</si>
  <si>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</si>
  <si>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</si>
  <si>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</si>
  <si>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</si>
  <si>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</si>
  <si>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</si>
  <si>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</si>
  <si>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</si>
  <si>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</si>
  <si>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</si>
  <si>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</si>
  <si>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</si>
  <si>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</si>
  <si>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</si>
  <si>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</si>
  <si>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</si>
  <si>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</si>
  <si>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</si>
  <si>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</si>
  <si>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</si>
  <si>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</si>
  <si>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</si>
  <si>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</si>
  <si>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</si>
  <si>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</si>
  <si>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</si>
  <si>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</si>
  <si>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</si>
  <si>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</si>
  <si>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</si>
  <si>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</si>
  <si>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</si>
  <si>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</si>
  <si>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</si>
  <si>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</si>
  <si>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</si>
  <si>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</si>
  <si>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</si>
  <si>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</si>
  <si>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</si>
  <si>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</si>
  <si>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</si>
  <si>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</si>
  <si>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</si>
  <si>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</si>
  <si>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</si>
  <si>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</si>
  <si>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</si>
  <si>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</si>
  <si>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</si>
  <si>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</si>
  <si>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</si>
  <si>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</si>
  <si>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</si>
  <si>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</si>
  <si>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</si>
  <si>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</si>
  <si>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</si>
  <si>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</si>
  <si>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</si>
  <si>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</si>
  <si>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</si>
  <si>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</si>
  <si>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</si>
  <si>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</si>
  <si>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</si>
  <si>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</si>
  <si>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</si>
  <si>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</si>
  <si>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</si>
  <si>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</si>
  <si>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</si>
  <si>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</si>
  <si>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</si>
  <si>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</si>
  <si>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</si>
  <si>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</si>
  <si>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</si>
  <si>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</si>
  <si>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</si>
  <si>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</si>
  <si>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</si>
  <si>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</si>
  <si>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</si>
  <si>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</si>
  <si>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</si>
  <si>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</si>
  <si>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</si>
  <si>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</si>
  <si>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</si>
  <si>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</si>
  <si>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</si>
  <si>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</si>
  <si>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</si>
  <si>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</si>
  <si>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</si>
  <si>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</si>
  <si>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</si>
  <si>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</si>
  <si>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</si>
  <si>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</si>
  <si>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</si>
  <si>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</si>
  <si>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</si>
  <si>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</si>
  <si>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</si>
  <si>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</si>
  <si>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</si>
  <si>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</si>
  <si>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</si>
  <si>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</si>
  <si>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</si>
  <si>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</si>
  <si>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</si>
  <si>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</si>
  <si>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</si>
  <si>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</si>
  <si>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</si>
  <si>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</si>
  <si>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</si>
  <si>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</si>
  <si>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</si>
  <si>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</si>
  <si>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</si>
  <si>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</si>
  <si>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</si>
  <si>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</si>
  <si>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</si>
  <si>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</si>
  <si>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</si>
  <si>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</si>
  <si>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</si>
  <si>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</si>
  <si>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</si>
  <si>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</si>
  <si>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</si>
  <si>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</si>
  <si>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</si>
  <si>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</si>
  <si>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</si>
  <si>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</si>
  <si>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</si>
  <si>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</si>
  <si>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</si>
  <si>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</si>
  <si>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</si>
  <si>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</si>
  <si>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</si>
  <si>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</si>
  <si>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</si>
  <si>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</si>
  <si>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</si>
  <si>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</si>
  <si>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</si>
  <si>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</si>
  <si>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</si>
  <si>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</si>
  <si>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</si>
  <si>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</si>
  <si>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</si>
  <si>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</si>
  <si>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</si>
  <si>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</si>
  <si>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</si>
  <si>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</si>
  <si>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</si>
  <si>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</si>
  <si>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</si>
  <si>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</si>
  <si>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</si>
  <si>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</si>
  <si>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</si>
  <si>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</si>
  <si>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</si>
  <si>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</si>
  <si>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</si>
  <si>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</si>
  <si>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</si>
  <si>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</si>
  <si>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</si>
  <si>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</si>
  <si>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</si>
  <si>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</si>
  <si>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</si>
  <si>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</si>
  <si>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</si>
  <si>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</si>
  <si>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</si>
  <si>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</si>
  <si>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</si>
  <si>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</si>
  <si>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</si>
  <si>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</si>
  <si>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</si>
  <si>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</si>
  <si>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</si>
  <si>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</si>
  <si>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</si>
  <si>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</si>
  <si>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</si>
  <si>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</si>
  <si>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</si>
  <si>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</si>
  <si>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</si>
  <si>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</si>
  <si>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</si>
  <si>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</si>
  <si>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</si>
  <si>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</si>
  <si>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</si>
  <si>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</si>
  <si>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</si>
  <si>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</si>
  <si>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</si>
  <si>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</si>
  <si>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</si>
  <si>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</si>
  <si>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</si>
  <si>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</si>
  <si>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</si>
  <si>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</si>
  <si>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</si>
  <si>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</si>
  <si>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</si>
  <si>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</si>
  <si>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</si>
  <si>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</si>
  <si>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</si>
  <si>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</si>
  <si>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</si>
  <si>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</si>
  <si>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</si>
  <si>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</si>
  <si>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</si>
  <si>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</si>
  <si>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</si>
  <si>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</si>
  <si>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</si>
  <si>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</si>
  <si>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</si>
  <si>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</si>
  <si>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</si>
  <si>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</si>
  <si>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</si>
  <si>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</si>
  <si>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</si>
  <si>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</si>
  <si>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</si>
  <si>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</si>
  <si>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</si>
  <si>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</si>
  <si>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</si>
  <si>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</si>
  <si>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</si>
  <si>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</si>
  <si>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</si>
  <si>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</si>
  <si>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</si>
  <si>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</si>
  <si>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</si>
  <si>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</si>
  <si>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</si>
  <si>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</si>
  <si>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</si>
  <si>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</si>
  <si>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</si>
  <si>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</si>
  <si>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</si>
  <si>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</si>
  <si>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</si>
  <si>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</si>
  <si>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</si>
  <si>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</si>
  <si>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</si>
  <si>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</si>
  <si>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</si>
  <si>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</si>
  <si>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</si>
  <si>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</si>
  <si>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</si>
  <si>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</si>
  <si>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</si>
  <si>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</si>
  <si>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</si>
  <si>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</si>
  <si>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</si>
  <si>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</si>
  <si>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</si>
  <si>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</si>
  <si>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</si>
  <si>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</si>
  <si>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</si>
  <si>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</si>
  <si>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</si>
  <si>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</si>
  <si>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</si>
  <si>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</si>
  <si>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</si>
  <si>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</si>
  <si>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</si>
  <si>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</si>
  <si>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</si>
  <si>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</si>
  <si>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</si>
  <si>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</si>
  <si>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</si>
  <si>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</si>
  <si>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</si>
  <si>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</si>
  <si>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</si>
  <si>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</si>
  <si>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</si>
  <si>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</si>
  <si>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</si>
  <si>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</si>
  <si>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</si>
  <si>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</si>
  <si>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</si>
  <si>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</si>
  <si>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</si>
  <si>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</si>
  <si>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</si>
  <si>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</si>
  <si>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</si>
  <si>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</si>
  <si>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</si>
  <si>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</si>
  <si>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</si>
  <si>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</si>
  <si>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</si>
  <si>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</si>
  <si>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</si>
  <si>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</si>
  <si>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</si>
  <si>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</si>
  <si>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</si>
  <si>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</si>
  <si>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</si>
  <si>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</si>
  <si>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</si>
  <si>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</si>
  <si>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</si>
  <si>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</si>
  <si>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</si>
  <si>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</si>
  <si>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</si>
  <si>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</si>
  <si>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</si>
  <si>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</si>
  <si>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</si>
  <si>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</si>
  <si>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</si>
  <si>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</si>
  <si>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</si>
  <si>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</si>
  <si>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</si>
  <si>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</si>
  <si>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</si>
  <si>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</si>
  <si>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</si>
  <si>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</si>
  <si>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</si>
  <si>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</si>
  <si>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</si>
  <si>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</si>
  <si>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</si>
  <si>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</si>
  <si>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</si>
  <si>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</si>
  <si>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</si>
  <si>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</si>
  <si>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</si>
  <si>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</si>
  <si>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</si>
  <si>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</si>
  <si>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</si>
  <si>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</si>
  <si>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</si>
  <si>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</si>
  <si>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</si>
  <si>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</si>
  <si>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</si>
  <si>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</si>
  <si>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</si>
  <si>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</si>
  <si>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</si>
  <si>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</si>
  <si>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</si>
  <si>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</si>
  <si>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</si>
  <si>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</si>
  <si>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</si>
  <si>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</si>
  <si>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</si>
  <si>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</si>
  <si>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</si>
  <si>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</si>
  <si>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</si>
  <si>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</si>
  <si>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</si>
  <si>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</si>
  <si>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</si>
  <si>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</si>
  <si>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</si>
  <si>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</si>
  <si>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</si>
  <si>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</si>
  <si>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</si>
  <si>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</si>
  <si>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</si>
  <si>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</si>
  <si>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</si>
  <si>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</si>
  <si>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</si>
  <si>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</si>
  <si>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</si>
  <si>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</si>
  <si>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</si>
  <si>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</si>
  <si>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</si>
  <si>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</si>
  <si>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</si>
  <si>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</si>
  <si>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</si>
  <si>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</si>
  <si>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</si>
  <si>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</si>
  <si>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</si>
  <si>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</si>
  <si>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</si>
  <si>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</si>
  <si>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</si>
  <si>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</si>
  <si>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</si>
  <si>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</si>
  <si>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</si>
  <si>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</si>
  <si>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</si>
  <si>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</si>
  <si>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</si>
  <si>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</si>
  <si>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</si>
  <si>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</si>
  <si>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</si>
  <si>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</si>
  <si>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</si>
  <si>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</si>
  <si>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</si>
  <si>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</si>
  <si>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</si>
  <si>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</si>
  <si>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</si>
  <si>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</si>
  <si>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</si>
  <si>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</si>
  <si>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</si>
  <si>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</si>
  <si>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</si>
  <si>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</si>
  <si>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</si>
  <si>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</si>
  <si>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</si>
  <si>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</si>
  <si>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</si>
  <si>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</si>
  <si>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</si>
  <si>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</si>
  <si>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</si>
  <si>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</si>
  <si>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</si>
  <si>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</si>
  <si>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</si>
  <si>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</si>
  <si>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</si>
  <si>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</si>
  <si>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</si>
  <si>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</si>
  <si>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</si>
  <si>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</si>
  <si>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</si>
  <si>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</si>
  <si>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</si>
  <si>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</si>
  <si>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</si>
  <si>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</si>
  <si>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</si>
  <si>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</si>
  <si>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</si>
  <si>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</si>
  <si>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</si>
  <si>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</si>
  <si>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</si>
  <si>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</si>
  <si>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</si>
  <si>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</si>
  <si>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</si>
  <si>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</si>
  <si>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</si>
  <si>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</si>
  <si>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</si>
  <si>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</si>
  <si>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</si>
  <si>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</si>
  <si>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</si>
  <si>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</si>
  <si>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</si>
  <si>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</si>
  <si>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</si>
  <si>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</si>
  <si>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</si>
  <si>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</si>
  <si>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</si>
  <si>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</si>
  <si>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</si>
  <si>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</si>
  <si>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</si>
  <si>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</si>
  <si>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</si>
  <si>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</si>
  <si>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</si>
  <si>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</si>
  <si>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</si>
  <si>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</si>
  <si>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</si>
  <si>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</si>
  <si>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</si>
  <si>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</si>
  <si>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</si>
  <si>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</si>
  <si>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</si>
  <si>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</si>
  <si>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</si>
  <si>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</si>
  <si>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</si>
  <si>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</si>
  <si>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</si>
  <si>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</si>
  <si>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</si>
  <si>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</si>
  <si>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</si>
  <si>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</si>
  <si>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</si>
  <si>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</si>
  <si>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</si>
  <si>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</si>
  <si>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</si>
  <si>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</si>
  <si>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</si>
  <si>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</si>
  <si>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</si>
  <si>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</si>
  <si>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</si>
  <si>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</si>
  <si>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</si>
  <si>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</si>
  <si>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</si>
  <si>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</si>
  <si>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</si>
  <si>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</si>
  <si>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</si>
  <si>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</si>
  <si>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</si>
  <si>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</si>
  <si>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</si>
  <si>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</si>
  <si>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</si>
  <si>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</si>
  <si>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</si>
  <si>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</si>
  <si>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</si>
  <si>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</si>
  <si>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</si>
  <si>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</si>
  <si>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</si>
  <si>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</si>
  <si>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</si>
  <si>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</si>
  <si>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</si>
  <si>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</si>
  <si>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</si>
  <si>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</si>
  <si>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</si>
  <si>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</si>
  <si>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</si>
  <si>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</si>
  <si>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</si>
  <si>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</si>
  <si>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</si>
  <si>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</si>
  <si>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</si>
  <si>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</si>
  <si>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</si>
  <si>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</si>
  <si>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</si>
  <si>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</si>
  <si>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</si>
  <si>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</si>
  <si>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</si>
  <si>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</si>
  <si>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</si>
  <si>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</si>
  <si>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</si>
  <si>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</si>
  <si>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</si>
  <si>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</si>
  <si>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</si>
  <si>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</si>
  <si>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</si>
  <si>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</si>
  <si>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</si>
  <si>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</si>
  <si>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</si>
  <si>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</si>
  <si>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</si>
  <si>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</si>
  <si>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</si>
  <si>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</si>
  <si>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</si>
  <si>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</si>
  <si>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</si>
  <si>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</si>
  <si>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</si>
  <si>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</si>
  <si>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</si>
  <si>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</si>
  <si>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</si>
  <si>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</si>
  <si>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</si>
  <si>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</si>
  <si>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</si>
  <si>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</si>
  <si>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</si>
  <si>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</si>
  <si>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</si>
  <si>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</si>
  <si>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</si>
  <si>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</si>
  <si>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</si>
  <si>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</si>
  <si>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</si>
  <si>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</si>
  <si>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</si>
  <si>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</si>
  <si>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</si>
  <si>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</si>
  <si>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</si>
  <si>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</si>
  <si>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</si>
  <si>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</si>
  <si>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</si>
  <si>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</si>
  <si>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</si>
  <si>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</si>
  <si>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</si>
  <si>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</si>
  <si>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</si>
  <si>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</si>
  <si>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</si>
  <si>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</si>
  <si>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</si>
  <si>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</si>
  <si>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</si>
  <si>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</si>
  <si>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</si>
  <si>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</si>
  <si>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</si>
  <si>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</si>
  <si>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</si>
  <si>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</si>
  <si>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</si>
  <si>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</si>
  <si>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</si>
  <si>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</si>
  <si>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</si>
  <si>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</si>
  <si>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</si>
  <si>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</si>
  <si>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</si>
  <si>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</si>
  <si>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</si>
  <si>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</si>
  <si>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</si>
  <si>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</si>
  <si>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</si>
  <si>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</si>
  <si>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</si>
  <si>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</si>
  <si>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</si>
  <si>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</si>
  <si>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</si>
  <si>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</si>
  <si>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</si>
  <si>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</si>
  <si>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</si>
  <si>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</si>
  <si>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</si>
  <si>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</si>
  <si>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</si>
  <si>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</si>
  <si>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</si>
  <si>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</si>
  <si>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</si>
  <si>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</si>
  <si>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</si>
  <si>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</si>
  <si>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</si>
  <si>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</si>
  <si>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</si>
  <si>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</si>
  <si>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</si>
  <si>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</si>
  <si>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</si>
  <si>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</si>
  <si>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</si>
  <si>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</si>
  <si>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</si>
  <si>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</si>
  <si>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</si>
  <si>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</si>
  <si>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</si>
  <si>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</si>
  <si>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</si>
  <si>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</si>
  <si>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</si>
  <si>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</si>
  <si>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</si>
  <si>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</si>
  <si>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</si>
  <si>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</si>
  <si>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</si>
  <si>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</si>
  <si>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</si>
  <si>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</si>
  <si>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</si>
  <si>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</si>
  <si>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</si>
  <si>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</si>
  <si>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</si>
  <si>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</si>
  <si>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</si>
  <si>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</si>
  <si>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</si>
  <si>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</si>
  <si>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</si>
  <si>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</si>
  <si>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</si>
  <si>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</si>
  <si>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</si>
  <si>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</si>
  <si>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</si>
  <si>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</si>
  <si>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</si>
  <si>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</si>
  <si>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</si>
  <si>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</si>
  <si>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</si>
  <si>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</si>
  <si>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</si>
  <si>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</si>
  <si>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</si>
  <si>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</si>
  <si>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</si>
  <si>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</si>
  <si>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</si>
  <si>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</si>
  <si>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</si>
  <si>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</si>
  <si>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</si>
  <si>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</si>
  <si>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</si>
  <si>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</si>
  <si>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</si>
  <si>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</si>
  <si>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</si>
  <si>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</si>
  <si>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</si>
  <si>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</si>
  <si>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</si>
  <si>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</si>
  <si>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</si>
  <si>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</si>
  <si>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</si>
  <si>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</si>
  <si>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</si>
  <si>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</si>
  <si>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</si>
  <si>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</si>
  <si>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</si>
  <si>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</si>
  <si>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</si>
  <si>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</si>
  <si>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</si>
  <si>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</si>
  <si>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</si>
  <si>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</si>
  <si>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</si>
  <si>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</si>
  <si>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</si>
  <si>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</si>
  <si>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</si>
  <si>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</si>
  <si>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</si>
  <si>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</si>
  <si>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</si>
  <si>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</si>
  <si>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</si>
  <si>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</si>
  <si>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</si>
  <si>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</si>
  <si>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</si>
  <si>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</si>
  <si>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</si>
  <si>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</si>
  <si>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</si>
  <si>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</si>
  <si>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</si>
  <si>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</si>
  <si>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</si>
  <si>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</si>
  <si>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</si>
  <si>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</si>
  <si>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</si>
  <si>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</si>
  <si>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</si>
  <si>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</si>
  <si>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</si>
  <si>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</si>
  <si>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</si>
  <si>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</si>
  <si>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</si>
  <si>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</si>
  <si>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</si>
  <si>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</si>
  <si>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</si>
  <si>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</si>
  <si>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</si>
  <si>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</si>
  <si>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</si>
  <si>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</si>
  <si>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</si>
  <si>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</si>
  <si>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</si>
  <si>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</si>
  <si>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</si>
  <si>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</si>
  <si>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</si>
  <si>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</si>
  <si>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</si>
  <si>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</si>
  <si>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</si>
  <si>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</si>
  <si>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</si>
  <si>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</si>
  <si>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</si>
  <si>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</si>
  <si>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</si>
  <si>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</si>
  <si>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</si>
  <si>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</si>
  <si>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</si>
  <si>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</si>
  <si>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</si>
  <si>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</si>
  <si>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</si>
  <si>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</si>
  <si>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</si>
  <si>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Count of TX ID</t>
  </si>
  <si>
    <t>Sum of Quantity</t>
  </si>
  <si>
    <t>Sum of Amount</t>
  </si>
  <si>
    <t>Average of Rating C</t>
  </si>
  <si>
    <t>Average of Days to Deliver</t>
  </si>
  <si>
    <t>Total Order</t>
  </si>
  <si>
    <t>Total Revenue</t>
  </si>
  <si>
    <t>Average Rating</t>
  </si>
  <si>
    <t>Average shipping date</t>
  </si>
  <si>
    <t>Average Order Value</t>
  </si>
  <si>
    <t>Average Order Value (AOV)</t>
  </si>
  <si>
    <t>Unknown</t>
  </si>
  <si>
    <t>Male</t>
  </si>
  <si>
    <t>Female</t>
  </si>
  <si>
    <t>Other</t>
  </si>
  <si>
    <t>Row Labels</t>
  </si>
  <si>
    <t>Grand Total</t>
  </si>
  <si>
    <t>Column Labels</t>
  </si>
  <si>
    <t>For Matrix</t>
  </si>
  <si>
    <t>Unk</t>
  </si>
  <si>
    <t>Country</t>
  </si>
  <si>
    <t>Alpine county</t>
  </si>
  <si>
    <t>Contra Costa county</t>
  </si>
  <si>
    <t>Fresno county</t>
  </si>
  <si>
    <t>Los Angeles county</t>
  </si>
  <si>
    <t>Nevada county</t>
  </si>
  <si>
    <t>Placer county</t>
  </si>
  <si>
    <t>Sacramento county</t>
  </si>
  <si>
    <t>San Bernardino county</t>
  </si>
  <si>
    <t>San Diego county</t>
  </si>
  <si>
    <t>San Mateo county</t>
  </si>
  <si>
    <t>Santa Barbara county</t>
  </si>
  <si>
    <t>Santa Clara county</t>
  </si>
  <si>
    <t>Tehama county</t>
  </si>
  <si>
    <t>Ventura county</t>
  </si>
  <si>
    <t>Calaveras county</t>
  </si>
  <si>
    <t>Inyo county</t>
  </si>
  <si>
    <t>Napa county</t>
  </si>
  <si>
    <t>Sonoma county</t>
  </si>
  <si>
    <t>Stanislaus county</t>
  </si>
  <si>
    <t>Tulare county</t>
  </si>
  <si>
    <t>Alameda county</t>
  </si>
  <si>
    <t>Kern county</t>
  </si>
  <si>
    <t>Riverside county</t>
  </si>
  <si>
    <t>Merced county</t>
  </si>
  <si>
    <t>Orange county</t>
  </si>
  <si>
    <t>San Joaquin county</t>
  </si>
  <si>
    <t>Glenn county</t>
  </si>
  <si>
    <t>Yolo county</t>
  </si>
  <si>
    <t>Mendocino county</t>
  </si>
  <si>
    <t>Siskiyou county</t>
  </si>
  <si>
    <t>Sutter county</t>
  </si>
  <si>
    <t>Santa Cruz county</t>
  </si>
  <si>
    <t>Imperial county</t>
  </si>
  <si>
    <t>Kings county</t>
  </si>
  <si>
    <t>Plumas county</t>
  </si>
  <si>
    <t>San Benito county</t>
  </si>
  <si>
    <t>Madera county</t>
  </si>
  <si>
    <t>Solano county</t>
  </si>
  <si>
    <t>Modoc county</t>
  </si>
  <si>
    <t>Mariposa county</t>
  </si>
  <si>
    <t>San Luis Obispo county</t>
  </si>
  <si>
    <t>El Dorado county</t>
  </si>
  <si>
    <t>Marin county</t>
  </si>
  <si>
    <t>Humboldt county</t>
  </si>
  <si>
    <t>Trinity county</t>
  </si>
  <si>
    <t>Amador county</t>
  </si>
  <si>
    <t>Mono county</t>
  </si>
  <si>
    <t>Sierra county</t>
  </si>
  <si>
    <t>Monterey county</t>
  </si>
  <si>
    <t>Lake county</t>
  </si>
  <si>
    <t>Butte county</t>
  </si>
  <si>
    <t>Tuolumne county</t>
  </si>
  <si>
    <t>Shasta county</t>
  </si>
  <si>
    <t>Colusa county</t>
  </si>
  <si>
    <t>Lassen county</t>
  </si>
  <si>
    <t>Yuba county</t>
  </si>
  <si>
    <t>Del Norte county</t>
  </si>
  <si>
    <t>Sum of Qty</t>
  </si>
  <si>
    <t>Sum of Amt</t>
  </si>
  <si>
    <t>10++</t>
  </si>
  <si>
    <t>6-10</t>
  </si>
  <si>
    <r>
      <rPr>
        <b/>
        <sz val="11"/>
        <color theme="1"/>
        <rFont val="Calibri"/>
        <family val="2"/>
        <scheme val="minor"/>
      </rPr>
      <t>FOR</t>
    </r>
    <r>
      <rPr>
        <sz val="11"/>
        <color theme="1"/>
        <rFont val="Calibri"/>
        <family val="2"/>
        <scheme val="minor"/>
      </rPr>
      <t xml:space="preserve"> </t>
    </r>
    <r>
      <rPr>
        <b/>
        <sz val="11"/>
        <color theme="1"/>
        <rFont val="Calibri"/>
        <family val="2"/>
        <scheme val="minor"/>
      </rPr>
      <t>TRENDS</t>
    </r>
  </si>
  <si>
    <t>FOR POPULAR PRODUCTS</t>
  </si>
  <si>
    <t xml:space="preserve">FOR POPULAR PRODUCT BY GENDER </t>
  </si>
  <si>
    <t>FOR PREFERRED MODE OF PURCHASE</t>
  </si>
  <si>
    <t>CUSTOMER LOCATION</t>
  </si>
  <si>
    <t>SHIPPING TIME</t>
  </si>
  <si>
    <t>RATINGS DISTRIBUTIONS</t>
  </si>
  <si>
    <t>1⭐</t>
  </si>
  <si>
    <t>2⭐</t>
  </si>
  <si>
    <t>3⭐</t>
  </si>
  <si>
    <t>4⭐</t>
  </si>
  <si>
    <t>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</si>
</sst>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C09]#,##0"/>
    <numFmt numFmtId="166" formatCode="0.0%"/>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12"/>
      <name val="Calibri"/>
      <family val="2"/>
      <scheme val="minor"/>
    </font>
    <font>
      <sz val="12"/>
      <color rgb="FF012B22"/>
      <name val="Calibri"/>
      <family val="2"/>
      <scheme val="minor"/>
    </font>
  </fonts>
  <fills count="6">
    <fill>
      <patternFill patternType="none"/>
    </fill>
    <fill>
      <patternFill patternType="gray125"/>
    </fill>
    <fill>
      <patternFill patternType="solid">
        <fgColor theme="9"/>
        <bgColor indexed="64"/>
      </patternFill>
    </fill>
    <fill>
      <patternFill patternType="solid">
        <fgColor theme="9" tint="-0.499984740745262"/>
        <bgColor indexed="64"/>
      </patternFill>
    </fill>
    <fill>
      <patternFill patternType="solid">
        <fgColor rgb="FF002060"/>
        <bgColor indexed="64"/>
      </patternFill>
    </fill>
    <fill>
      <patternFill patternType="solid">
        <fgColor theme="0"/>
        <bgColor theme="4" tint="0.79998168889431442"/>
      </patternFill>
    </fill>
  </fills>
  <borders count="10">
    <border>
      <left/>
      <right/>
      <top/>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top/>
      <bottom style="thick">
        <color theme="0"/>
      </bottom>
      <diagonal/>
    </border>
    <border>
      <left/>
      <right style="thick">
        <color theme="0"/>
      </right>
      <top style="thick">
        <color theme="0"/>
      </top>
      <bottom style="thick">
        <color theme="0"/>
      </bottom>
      <diagonal/>
    </border>
    <border>
      <left style="thick">
        <color theme="0"/>
      </left>
      <right style="thick">
        <color theme="0"/>
      </right>
      <top style="thick">
        <color theme="0"/>
      </top>
      <bottom style="thick">
        <color theme="0"/>
      </bottom>
      <diagonal/>
    </border>
    <border>
      <left style="thick">
        <color theme="0"/>
      </left>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15" fontId="0" fillId="0" borderId="0" xfId="0" applyNumberFormat="1"/>
    <xf numFmtId="0" fontId="0" fillId="3" borderId="0" xfId="0" applyFill="1"/>
    <xf numFmtId="0" fontId="0" fillId="4" borderId="0" xfId="0" applyFill="1"/>
    <xf numFmtId="0" fontId="2" fillId="2" borderId="0" xfId="0" applyFont="1" applyFill="1"/>
    <xf numFmtId="0" fontId="0" fillId="0" borderId="0" xfId="0" applyAlignment="1">
      <alignment horizontal="left" indent="1"/>
    </xf>
    <xf numFmtId="164" fontId="0" fillId="0" borderId="0" xfId="0" applyNumberFormat="1"/>
    <xf numFmtId="0" fontId="2" fillId="0" borderId="0" xfId="0" applyFont="1"/>
    <xf numFmtId="0" fontId="0" fillId="0" borderId="0" xfId="0" pivotButton="1"/>
    <xf numFmtId="0" fontId="0" fillId="0" borderId="0" xfId="0" applyAlignment="1">
      <alignment horizontal="left"/>
    </xf>
    <xf numFmtId="165" fontId="0" fillId="0" borderId="0" xfId="0" applyNumberFormat="1"/>
    <xf numFmtId="10" fontId="0" fillId="0" borderId="0" xfId="0" applyNumberFormat="1"/>
    <xf numFmtId="166" fontId="3" fillId="0" borderId="1" xfId="1" applyNumberFormat="1" applyFont="1" applyBorder="1" applyAlignment="1">
      <alignment horizontal="center"/>
    </xf>
    <xf numFmtId="166" fontId="3" fillId="0" borderId="2" xfId="1" applyNumberFormat="1" applyFont="1" applyBorder="1" applyAlignment="1">
      <alignment horizontal="center"/>
    </xf>
    <xf numFmtId="166" fontId="3" fillId="0" borderId="3" xfId="1" applyNumberFormat="1" applyFont="1" applyBorder="1" applyAlignment="1">
      <alignment horizontal="center"/>
    </xf>
    <xf numFmtId="166" fontId="3" fillId="0" borderId="4" xfId="1" applyNumberFormat="1" applyFont="1" applyBorder="1" applyAlignment="1">
      <alignment horizontal="center"/>
    </xf>
    <xf numFmtId="166" fontId="3" fillId="0" borderId="5" xfId="1" applyNumberFormat="1" applyFont="1" applyBorder="1" applyAlignment="1">
      <alignment horizontal="center"/>
    </xf>
    <xf numFmtId="166" fontId="3" fillId="0" borderId="6" xfId="1" applyNumberFormat="1" applyFont="1" applyBorder="1" applyAlignment="1">
      <alignment horizontal="center"/>
    </xf>
    <xf numFmtId="166" fontId="3" fillId="0" borderId="7" xfId="1" applyNumberFormat="1" applyFont="1" applyBorder="1" applyAlignment="1">
      <alignment horizontal="center"/>
    </xf>
    <xf numFmtId="166" fontId="3" fillId="0" borderId="8" xfId="1" applyNumberFormat="1" applyFont="1" applyBorder="1" applyAlignment="1">
      <alignment horizontal="center"/>
    </xf>
    <xf numFmtId="166" fontId="3" fillId="0" borderId="9" xfId="1" applyNumberFormat="1" applyFont="1" applyBorder="1" applyAlignment="1">
      <alignment horizontal="center"/>
    </xf>
    <xf numFmtId="0" fontId="4" fillId="0" borderId="0" xfId="0" applyFont="1" applyAlignment="1">
      <alignment horizontal="center"/>
    </xf>
    <xf numFmtId="15" fontId="0" fillId="0" borderId="0" xfId="0" applyNumberFormat="1" applyAlignment="1">
      <alignment horizontal="left" indent="1"/>
    </xf>
    <xf numFmtId="0" fontId="2" fillId="5" borderId="0" xfId="0" applyFont="1" applyFill="1"/>
    <xf numFmtId="0" fontId="0" fillId="0" borderId="0" xfId="0" applyNumberFormat="1"/>
  </cellXfs>
  <cellStyles count="2">
    <cellStyle name="Normal" xfId="0" builtinId="0"/>
    <cellStyle name="Percent" xfId="1" builtinId="5"/>
  </cellStyles>
  <dxfs count="19">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numFmt numFmtId="167" formatCode="d\-mmm\-yy"/>
    </dxf>
    <dxf>
      <numFmt numFmtId="167" formatCode="d\-mmm\-yy"/>
    </dxf>
    <dxf>
      <fill>
        <patternFill>
          <fgColor indexed="64"/>
          <bgColor theme="9" tint="-0.499984740745262"/>
        </patternFill>
      </fill>
    </dxf>
    <dxf>
      <fill>
        <patternFill patternType="none">
          <bgColor auto="1"/>
        </patternFill>
      </fill>
    </dxf>
    <dxf>
      <fill>
        <patternFill patternType="solid">
          <bgColor rgb="FF012B22"/>
        </patternFill>
      </fill>
    </dxf>
    <dxf>
      <fill>
        <patternFill>
          <bgColor rgb="FF0B4F3A"/>
        </patternFill>
      </fill>
    </dxf>
    <dxf>
      <font>
        <color rgb="FF012B22"/>
      </font>
    </dxf>
  </dxfs>
  <tableStyles count="3" defaultTableStyle="TableStyleMedium2" defaultPivotStyle="PivotStyleLight16">
    <tableStyle name="Slicer Style 1" pivot="0" table="0" count="1" xr9:uid="{4F5B512A-6DAD-4D37-A2AA-BE96EF7EB230}">
      <tableStyleElement type="wholeTable" dxfId="18"/>
    </tableStyle>
    <tableStyle name="Slicer Style 2" pivot="0" table="0" count="4" xr9:uid="{D5792065-7508-47D3-89BA-FD41E2271057}">
      <tableStyleElement type="headerRow" dxfId="17"/>
    </tableStyle>
    <tableStyle name="Slicer Style 3" pivot="0" table="0" count="4" xr9:uid="{BF9EB692-A887-4E01-8E20-D80485CCE7BB}">
      <tableStyleElement type="wholeTable" dxfId="16"/>
      <tableStyleElement type="headerRow" dxfId="15"/>
    </tableStyle>
  </tableStyles>
  <colors>
    <mruColors>
      <color rgb="FF012B22"/>
      <color rgb="FF83AF86"/>
      <color rgb="FFDCEBC8"/>
      <color rgb="FFDCE8D3"/>
      <color rgb="FF2F6B4F"/>
      <color rgb="FF0B4F3A"/>
      <color rgb="FF0F4D3F"/>
      <color rgb="FF6E8B61"/>
      <color rgb="FF9CB38C"/>
      <color rgb="FFCFCFCF"/>
    </mruColors>
  </colors>
  <extLst>
    <ext xmlns:x14="http://schemas.microsoft.com/office/spreadsheetml/2009/9/main" uri="{46F421CA-312F-682f-3DD2-61675219B42D}">
      <x14:dxfs count="5">
        <dxf>
          <font>
            <b/>
            <i val="0"/>
            <sz val="9"/>
            <color theme="0"/>
            <name val="Calibri"/>
            <family val="2"/>
            <scheme val="minor"/>
          </font>
          <fill>
            <patternFill>
              <bgColor rgb="FF2F6B4F"/>
            </patternFill>
          </fill>
        </dxf>
        <dxf>
          <font>
            <b/>
            <i val="0"/>
            <sz val="9"/>
            <name val="Calibri"/>
            <family val="2"/>
            <scheme val="minor"/>
          </font>
          <fill>
            <patternFill>
              <bgColor rgb="FFDCE8D3"/>
            </patternFill>
          </fill>
        </dxf>
        <dxf>
          <fill>
            <patternFill>
              <bgColor rgb="FF2F6B4F"/>
            </patternFill>
          </fill>
        </dxf>
        <dxf>
          <fill>
            <patternFill>
              <bgColor rgb="FF2F6B4F"/>
            </patternFill>
          </fill>
        </dxf>
        <dxf>
          <fill>
            <patternFill>
              <bgColor rgb="FFDCE8D3"/>
            </patternFill>
          </fill>
        </dxf>
      </x14:dxfs>
    </ext>
    <ext xmlns:x14="http://schemas.microsoft.com/office/spreadsheetml/2009/9/main" uri="{EB79DEF2-80B8-43e5-95BD-54CBDDF9020C}">
      <x14:slicerStyles defaultSlicerStyle="Slicer Style 3">
        <x14:slicerStyle name="Slicer Style 1"/>
        <x14:slicerStyle name="Slicer Style 2">
          <x14:slicerStyleElements>
            <x14:slicerStyleElement type="unselectedItemWithData" dxfId="4"/>
            <x14:slicerStyleElement type="selectedItemWithData" dxfId="3"/>
            <x14:slicerStyleElement type="hoveredUnselectedItemWithData" dxfId="2"/>
          </x14:slicerStyleElements>
        </x14:slicerStyle>
        <x14:slicerStyle name="Slicer Style 3">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 (1).xlsx]Pivots!PivotTable4</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729805586382242E-2"/>
          <c:y val="9.2547907318036846E-2"/>
          <c:w val="0.85261322200496747"/>
          <c:h val="0.7300877712866537"/>
        </c:manualLayout>
      </c:layout>
      <c:barChart>
        <c:barDir val="col"/>
        <c:grouping val="clustered"/>
        <c:varyColors val="0"/>
        <c:ser>
          <c:idx val="0"/>
          <c:order val="0"/>
          <c:tx>
            <c:strRef>
              <c:f>Pivots!$F$11</c:f>
              <c:strCache>
                <c:ptCount val="1"/>
                <c:pt idx="0">
                  <c:v>Total</c:v>
                </c:pt>
              </c:strCache>
            </c:strRef>
          </c:tx>
          <c:spPr>
            <a:solidFill>
              <a:schemeClr val="accent1"/>
            </a:solidFill>
            <a:ln>
              <a:noFill/>
            </a:ln>
            <a:effectLst/>
          </c:spPr>
          <c:invertIfNegative val="0"/>
          <c:cat>
            <c:strRef>
              <c:f>Pivots!$E$12:$E$19</c:f>
              <c:strCache>
                <c:ptCount val="7"/>
                <c:pt idx="0">
                  <c:v>1</c:v>
                </c:pt>
                <c:pt idx="1">
                  <c:v>2</c:v>
                </c:pt>
                <c:pt idx="2">
                  <c:v>3</c:v>
                </c:pt>
                <c:pt idx="3">
                  <c:v>4</c:v>
                </c:pt>
                <c:pt idx="4">
                  <c:v>5</c:v>
                </c:pt>
                <c:pt idx="5">
                  <c:v>6-10</c:v>
                </c:pt>
                <c:pt idx="6">
                  <c:v>10++</c:v>
                </c:pt>
              </c:strCache>
            </c:strRef>
          </c:cat>
          <c:val>
            <c:numRef>
              <c:f>Pivots!$F$12:$F$19</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F58A-4150-BBDD-D9CDC798E4C8}"/>
            </c:ext>
          </c:extLst>
        </c:ser>
        <c:dLbls>
          <c:showLegendKey val="0"/>
          <c:showVal val="0"/>
          <c:showCatName val="0"/>
          <c:showSerName val="0"/>
          <c:showPercent val="0"/>
          <c:showBubbleSize val="0"/>
        </c:dLbls>
        <c:gapWidth val="219"/>
        <c:overlap val="-27"/>
        <c:axId val="422169536"/>
        <c:axId val="422172896"/>
      </c:barChart>
      <c:catAx>
        <c:axId val="42216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172896"/>
        <c:crosses val="autoZero"/>
        <c:auto val="1"/>
        <c:lblAlgn val="ctr"/>
        <c:lblOffset val="100"/>
        <c:noMultiLvlLbl val="0"/>
      </c:catAx>
      <c:valAx>
        <c:axId val="42217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169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 (1).xlsx]Pivots!PivotGender</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258141259205687"/>
          <c:y val="5.3239712557297862E-2"/>
          <c:w val="0.45211481333194931"/>
          <c:h val="0.8416746864975212"/>
        </c:manualLayout>
      </c:layout>
      <c:barChart>
        <c:barDir val="bar"/>
        <c:grouping val="stacked"/>
        <c:varyColors val="0"/>
        <c:ser>
          <c:idx val="0"/>
          <c:order val="0"/>
          <c:tx>
            <c:strRef>
              <c:f>Pivots!$I$4:$I$5</c:f>
              <c:strCache>
                <c:ptCount val="1"/>
                <c:pt idx="0">
                  <c:v>Female</c:v>
                </c:pt>
              </c:strCache>
            </c:strRef>
          </c:tx>
          <c:spPr>
            <a:solidFill>
              <a:schemeClr val="accent1"/>
            </a:solidFill>
            <a:ln>
              <a:noFill/>
            </a:ln>
            <a:effectLst/>
          </c:spPr>
          <c:invertIfNegative val="0"/>
          <c:cat>
            <c:strRef>
              <c:f>Pivots!$H$6:$H$26</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Pivots!$I$6:$I$26</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AE2B-4CEF-8BE9-3E40D720A346}"/>
            </c:ext>
          </c:extLst>
        </c:ser>
        <c:ser>
          <c:idx val="1"/>
          <c:order val="1"/>
          <c:tx>
            <c:strRef>
              <c:f>Pivots!$J$4:$J$5</c:f>
              <c:strCache>
                <c:ptCount val="1"/>
                <c:pt idx="0">
                  <c:v>Male</c:v>
                </c:pt>
              </c:strCache>
            </c:strRef>
          </c:tx>
          <c:spPr>
            <a:solidFill>
              <a:schemeClr val="accent2"/>
            </a:solidFill>
            <a:ln>
              <a:noFill/>
            </a:ln>
            <a:effectLst/>
          </c:spPr>
          <c:invertIfNegative val="0"/>
          <c:cat>
            <c:strRef>
              <c:f>Pivots!$H$6:$H$26</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Pivots!$J$6:$J$26</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6-D484-4207-86B9-E460E071D112}"/>
            </c:ext>
          </c:extLst>
        </c:ser>
        <c:ser>
          <c:idx val="2"/>
          <c:order val="2"/>
          <c:tx>
            <c:strRef>
              <c:f>Pivots!$K$4:$K$5</c:f>
              <c:strCache>
                <c:ptCount val="1"/>
                <c:pt idx="0">
                  <c:v>Other</c:v>
                </c:pt>
              </c:strCache>
            </c:strRef>
          </c:tx>
          <c:spPr>
            <a:solidFill>
              <a:schemeClr val="accent3"/>
            </a:solidFill>
            <a:ln>
              <a:noFill/>
            </a:ln>
            <a:effectLst/>
          </c:spPr>
          <c:invertIfNegative val="0"/>
          <c:cat>
            <c:strRef>
              <c:f>Pivots!$H$6:$H$26</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Pivots!$K$6:$K$26</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7-D484-4207-86B9-E460E071D112}"/>
            </c:ext>
          </c:extLst>
        </c:ser>
        <c:ser>
          <c:idx val="3"/>
          <c:order val="3"/>
          <c:tx>
            <c:strRef>
              <c:f>Pivots!$L$4:$L$5</c:f>
              <c:strCache>
                <c:ptCount val="1"/>
                <c:pt idx="0">
                  <c:v>Unknown</c:v>
                </c:pt>
              </c:strCache>
            </c:strRef>
          </c:tx>
          <c:spPr>
            <a:solidFill>
              <a:schemeClr val="accent4"/>
            </a:solidFill>
            <a:ln>
              <a:noFill/>
            </a:ln>
            <a:effectLst/>
          </c:spPr>
          <c:invertIfNegative val="0"/>
          <c:cat>
            <c:strRef>
              <c:f>Pivots!$H$6:$H$26</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Pivots!$L$6:$L$26</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8-D484-4207-86B9-E460E071D112}"/>
            </c:ext>
          </c:extLst>
        </c:ser>
        <c:dLbls>
          <c:showLegendKey val="0"/>
          <c:showVal val="0"/>
          <c:showCatName val="0"/>
          <c:showSerName val="0"/>
          <c:showPercent val="0"/>
          <c:showBubbleSize val="0"/>
        </c:dLbls>
        <c:gapWidth val="150"/>
        <c:overlap val="100"/>
        <c:axId val="1081854816"/>
        <c:axId val="1081845696"/>
      </c:barChart>
      <c:catAx>
        <c:axId val="1081854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845696"/>
        <c:crosses val="autoZero"/>
        <c:auto val="1"/>
        <c:lblAlgn val="ctr"/>
        <c:lblOffset val="100"/>
        <c:noMultiLvlLbl val="0"/>
      </c:catAx>
      <c:valAx>
        <c:axId val="1081845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85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 (1).xlsx]Pivots!GENDERQUANTITY</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Pivots!$P$4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AB-4F56-A52D-791BE53ECD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AB-4F56-A52D-791BE53ECD4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AB-4F56-A52D-791BE53ECD4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0AB-4F56-A52D-791BE53ECD40}"/>
              </c:ext>
            </c:extLst>
          </c:dPt>
          <c:cat>
            <c:strRef>
              <c:f>Pivots!$O$5:$O$9</c:f>
              <c:strCache>
                <c:ptCount val="4"/>
                <c:pt idx="0">
                  <c:v>Female</c:v>
                </c:pt>
                <c:pt idx="1">
                  <c:v>Male</c:v>
                </c:pt>
                <c:pt idx="2">
                  <c:v>Other</c:v>
                </c:pt>
                <c:pt idx="3">
                  <c:v>Unknown</c:v>
                </c:pt>
              </c:strCache>
            </c:strRef>
          </c:cat>
          <c:val>
            <c:numRef>
              <c:f>Pivots!$P$5:$P$9</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0-3938-4EE7-BDB5-A026DC82660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 (1).xlsx]Pivots!PivotTable2</c:name>
    <c:fmtId val="19"/>
  </c:pivotSource>
  <c:chart>
    <c:title>
      <c:tx>
        <c:rich>
          <a:bodyPr rot="0" spcFirstLastPara="1" vertOverflow="ellipsis" vert="horz" wrap="square" anchor="ctr" anchorCtr="1"/>
          <a:lstStyle/>
          <a:p>
            <a:pPr>
              <a:defRPr sz="1400" b="0" i="0" u="none" strike="noStrike" kern="1200" spc="0" baseline="0">
                <a:solidFill>
                  <a:srgbClr val="012B22"/>
                </a:solidFill>
                <a:latin typeface="+mn-lt"/>
                <a:ea typeface="+mn-ea"/>
                <a:cs typeface="+mn-cs"/>
              </a:defRPr>
            </a:pPr>
            <a:r>
              <a:rPr lang="en-IN">
                <a:solidFill>
                  <a:srgbClr val="012B22"/>
                </a:solidFill>
              </a:rPr>
              <a:t>Qty &amp; Amount: Last 13 Week Trend</a:t>
            </a:r>
          </a:p>
        </c:rich>
      </c:tx>
      <c:layout>
        <c:manualLayout>
          <c:xMode val="edge"/>
          <c:yMode val="edge"/>
          <c:x val="0.12583433572172498"/>
          <c:y val="3.90455664835316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12B22"/>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34925" cap="rnd">
            <a:solidFill>
              <a:srgbClr val="012B22"/>
            </a:solidFill>
            <a:round/>
          </a:ln>
          <a:effectLst/>
        </c:spPr>
        <c:marker>
          <c:symbol val="circle"/>
          <c:size val="5"/>
          <c:spPr>
            <a:solidFill>
              <a:srgbClr val="00B05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492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34925" cap="rnd">
            <a:solidFill>
              <a:srgbClr val="012B22"/>
            </a:solidFill>
            <a:round/>
          </a:ln>
          <a:effectLst/>
        </c:spPr>
        <c:marker>
          <c:symbol val="circle"/>
          <c:size val="5"/>
          <c:spPr>
            <a:solidFill>
              <a:srgbClr val="00B05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349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rgbClr val="012B22"/>
            </a:solidFill>
            <a:round/>
          </a:ln>
          <a:effectLst/>
        </c:spPr>
        <c:marker>
          <c:symbol val="circle"/>
          <c:size val="5"/>
          <c:spPr>
            <a:solidFill>
              <a:srgbClr val="00B05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Pivots!$B$11</c:f>
              <c:strCache>
                <c:ptCount val="1"/>
                <c:pt idx="0">
                  <c:v>Sum of Quantity</c:v>
                </c:pt>
              </c:strCache>
            </c:strRef>
          </c:tx>
          <c:spPr>
            <a:ln w="34925" cap="rnd">
              <a:solidFill>
                <a:srgbClr val="012B22"/>
              </a:solidFill>
              <a:round/>
            </a:ln>
            <a:effectLst/>
          </c:spPr>
          <c:marker>
            <c:symbol val="circle"/>
            <c:size val="5"/>
            <c:spPr>
              <a:solidFill>
                <a:srgbClr val="00B050"/>
              </a:solidFill>
              <a:ln w="9525">
                <a:solidFill>
                  <a:schemeClr val="accent1"/>
                </a:solidFill>
              </a:ln>
              <a:effectLst/>
            </c:spPr>
          </c:marker>
          <c:cat>
            <c:strRef>
              <c:f>Pivots!$A$12:$A$25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Pivots!$B$12:$B$25</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0005-4B81-83A8-579F6F601672}"/>
            </c:ext>
          </c:extLst>
        </c:ser>
        <c:dLbls>
          <c:showLegendKey val="0"/>
          <c:showVal val="0"/>
          <c:showCatName val="0"/>
          <c:showSerName val="0"/>
          <c:showPercent val="0"/>
          <c:showBubbleSize val="0"/>
        </c:dLbls>
        <c:marker val="1"/>
        <c:smooth val="0"/>
        <c:axId val="1182944671"/>
        <c:axId val="1182942271"/>
      </c:lineChart>
      <c:lineChart>
        <c:grouping val="standard"/>
        <c:varyColors val="0"/>
        <c:ser>
          <c:idx val="1"/>
          <c:order val="1"/>
          <c:tx>
            <c:strRef>
              <c:f>Pivots!$C$11</c:f>
              <c:strCache>
                <c:ptCount val="1"/>
                <c:pt idx="0">
                  <c:v>Sum of Amount</c:v>
                </c:pt>
              </c:strCache>
            </c:strRef>
          </c:tx>
          <c:spPr>
            <a:ln w="34925" cap="rnd">
              <a:solidFill>
                <a:schemeClr val="accent2"/>
              </a:solidFill>
              <a:round/>
            </a:ln>
            <a:effectLst/>
          </c:spPr>
          <c:marker>
            <c:symbol val="none"/>
          </c:marker>
          <c:cat>
            <c:strRef>
              <c:f>Pivots!$A$12:$A$25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Pivots!$C$12:$C$25</c:f>
              <c:numCache>
                <c:formatCode>[$$-C09]#,##0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0005-4B81-83A8-579F6F601672}"/>
            </c:ext>
          </c:extLst>
        </c:ser>
        <c:dLbls>
          <c:showLegendKey val="0"/>
          <c:showVal val="0"/>
          <c:showCatName val="0"/>
          <c:showSerName val="0"/>
          <c:showPercent val="0"/>
          <c:showBubbleSize val="0"/>
        </c:dLbls>
        <c:marker val="1"/>
        <c:smooth val="0"/>
        <c:axId val="1275655343"/>
        <c:axId val="1275657263"/>
      </c:lineChart>
      <c:catAx>
        <c:axId val="118294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12B22"/>
                </a:solidFill>
                <a:latin typeface="+mn-lt"/>
                <a:ea typeface="+mn-ea"/>
                <a:cs typeface="+mn-cs"/>
              </a:defRPr>
            </a:pPr>
            <a:endParaRPr lang="en-US"/>
          </a:p>
        </c:txPr>
        <c:crossAx val="1182942271"/>
        <c:crosses val="autoZero"/>
        <c:auto val="1"/>
        <c:lblAlgn val="ctr"/>
        <c:lblOffset val="100"/>
        <c:noMultiLvlLbl val="0"/>
      </c:catAx>
      <c:valAx>
        <c:axId val="11829422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12B22"/>
                </a:solidFill>
                <a:latin typeface="+mn-lt"/>
                <a:ea typeface="+mn-ea"/>
                <a:cs typeface="+mn-cs"/>
              </a:defRPr>
            </a:pPr>
            <a:endParaRPr lang="en-US"/>
          </a:p>
        </c:txPr>
        <c:crossAx val="1182944671"/>
        <c:crosses val="autoZero"/>
        <c:crossBetween val="between"/>
      </c:valAx>
      <c:valAx>
        <c:axId val="1275657263"/>
        <c:scaling>
          <c:orientation val="minMax"/>
        </c:scaling>
        <c:delete val="0"/>
        <c:axPos val="r"/>
        <c:numFmt formatCode="[$$-C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12B22"/>
                </a:solidFill>
                <a:latin typeface="+mn-lt"/>
                <a:ea typeface="+mn-ea"/>
                <a:cs typeface="+mn-cs"/>
              </a:defRPr>
            </a:pPr>
            <a:endParaRPr lang="en-US"/>
          </a:p>
        </c:txPr>
        <c:crossAx val="1275655343"/>
        <c:crosses val="max"/>
        <c:crossBetween val="between"/>
      </c:valAx>
      <c:catAx>
        <c:axId val="1275655343"/>
        <c:scaling>
          <c:orientation val="minMax"/>
        </c:scaling>
        <c:delete val="1"/>
        <c:axPos val="b"/>
        <c:numFmt formatCode="General" sourceLinked="1"/>
        <c:majorTickMark val="out"/>
        <c:minorTickMark val="none"/>
        <c:tickLblPos val="nextTo"/>
        <c:crossAx val="1275657263"/>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 (1).xlsx]Pivot 3!PivotTable7</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3'!$B$3</c:f>
              <c:strCache>
                <c:ptCount val="1"/>
                <c:pt idx="0">
                  <c:v>Total</c:v>
                </c:pt>
              </c:strCache>
            </c:strRef>
          </c:tx>
          <c:spPr>
            <a:solidFill>
              <a:schemeClr val="accent1"/>
            </a:solidFill>
            <a:ln>
              <a:noFill/>
            </a:ln>
            <a:effectLst/>
          </c:spPr>
          <c:invertIfNegative val="0"/>
          <c:cat>
            <c:strRef>
              <c:f>'Pivot 3'!$A$4:$A$19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 3'!$B$4:$B$19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D5B9-4067-8D21-9557F1ACFDFF}"/>
            </c:ext>
          </c:extLst>
        </c:ser>
        <c:dLbls>
          <c:showLegendKey val="0"/>
          <c:showVal val="0"/>
          <c:showCatName val="0"/>
          <c:showSerName val="0"/>
          <c:showPercent val="0"/>
          <c:showBubbleSize val="0"/>
        </c:dLbls>
        <c:gapWidth val="219"/>
        <c:overlap val="-27"/>
        <c:axId val="897043360"/>
        <c:axId val="897044800"/>
      </c:barChart>
      <c:catAx>
        <c:axId val="89704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44800"/>
        <c:crosses val="autoZero"/>
        <c:auto val="1"/>
        <c:lblAlgn val="ctr"/>
        <c:lblOffset val="100"/>
        <c:noMultiLvlLbl val="0"/>
      </c:catAx>
      <c:valAx>
        <c:axId val="897044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4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 (1).xlsx]Pivot 3!PivotTable8</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rgbClr val="1D3D3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3'!$F$3</c:f>
              <c:strCache>
                <c:ptCount val="1"/>
                <c:pt idx="0">
                  <c:v>Total</c:v>
                </c:pt>
              </c:strCache>
            </c:strRef>
          </c:tx>
          <c:spPr>
            <a:solidFill>
              <a:schemeClr val="accent1"/>
            </a:solidFill>
            <a:ln>
              <a:noFill/>
            </a:ln>
            <a:effectLst/>
          </c:spPr>
          <c:invertIfNegative val="0"/>
          <c:cat>
            <c:strRef>
              <c:f>'Pivot 3'!$E$4:$E$8</c:f>
              <c:strCache>
                <c:ptCount val="5"/>
                <c:pt idx="0">
                  <c:v>1⭐</c:v>
                </c:pt>
                <c:pt idx="1">
                  <c:v>2⭐</c:v>
                </c:pt>
                <c:pt idx="2">
                  <c:v>3⭐</c:v>
                </c:pt>
                <c:pt idx="3">
                  <c:v>4⭐</c:v>
                </c:pt>
                <c:pt idx="4">
                  <c:v>5⭐</c:v>
                </c:pt>
              </c:strCache>
            </c:strRef>
          </c:cat>
          <c:val>
            <c:numRef>
              <c:f>'Pivot 3'!$F$4:$F$8</c:f>
              <c:numCache>
                <c:formatCode>General</c:formatCode>
                <c:ptCount val="5"/>
                <c:pt idx="0">
                  <c:v>21</c:v>
                </c:pt>
                <c:pt idx="1">
                  <c:v>127</c:v>
                </c:pt>
                <c:pt idx="2">
                  <c:v>495</c:v>
                </c:pt>
                <c:pt idx="3">
                  <c:v>1036</c:v>
                </c:pt>
                <c:pt idx="4">
                  <c:v>721</c:v>
                </c:pt>
              </c:numCache>
            </c:numRef>
          </c:val>
          <c:extLst>
            <c:ext xmlns:c16="http://schemas.microsoft.com/office/drawing/2014/chart" uri="{C3380CC4-5D6E-409C-BE32-E72D297353CC}">
              <c16:uniqueId val="{00000000-ED44-49E0-BE57-577A0C9F3177}"/>
            </c:ext>
          </c:extLst>
        </c:ser>
        <c:dLbls>
          <c:showLegendKey val="0"/>
          <c:showVal val="0"/>
          <c:showCatName val="0"/>
          <c:showSerName val="0"/>
          <c:showPercent val="0"/>
          <c:showBubbleSize val="0"/>
        </c:dLbls>
        <c:gapWidth val="219"/>
        <c:overlap val="-27"/>
        <c:axId val="1271541072"/>
        <c:axId val="1271542992"/>
      </c:barChart>
      <c:catAx>
        <c:axId val="1271541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542992"/>
        <c:crosses val="autoZero"/>
        <c:auto val="1"/>
        <c:lblAlgn val="ctr"/>
        <c:lblOffset val="100"/>
        <c:noMultiLvlLbl val="0"/>
      </c:catAx>
      <c:valAx>
        <c:axId val="12715429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541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 (1).xlsx]Pivots!PivotTable2</c:name>
    <c:fmtId val="9"/>
  </c:pivotSource>
  <c:chart>
    <c:title>
      <c:tx>
        <c:rich>
          <a:bodyPr rot="0" spcFirstLastPara="1" vertOverflow="ellipsis" vert="horz" wrap="square" anchor="ctr" anchorCtr="1"/>
          <a:lstStyle/>
          <a:p>
            <a:pPr>
              <a:defRPr sz="1400" b="0" i="0" u="none" strike="noStrike" kern="1200" spc="0" baseline="0">
                <a:solidFill>
                  <a:srgbClr val="012B22"/>
                </a:solidFill>
                <a:latin typeface="+mn-lt"/>
                <a:ea typeface="+mn-ea"/>
                <a:cs typeface="+mn-cs"/>
              </a:defRPr>
            </a:pPr>
            <a:r>
              <a:rPr lang="en-IN">
                <a:solidFill>
                  <a:srgbClr val="012B22"/>
                </a:solidFill>
              </a:rPr>
              <a:t>Qty &amp; Amount: Last 13 Week Trend</a:t>
            </a:r>
          </a:p>
        </c:rich>
      </c:tx>
      <c:layout>
        <c:manualLayout>
          <c:xMode val="edge"/>
          <c:yMode val="edge"/>
          <c:x val="0.12583433572172498"/>
          <c:y val="3.90455664835316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12B22"/>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rgbClr val="012B22"/>
            </a:solidFill>
            <a:round/>
          </a:ln>
          <a:effectLst/>
        </c:spPr>
        <c:marker>
          <c:symbol val="circle"/>
          <c:size val="5"/>
          <c:spPr>
            <a:solidFill>
              <a:srgbClr val="00B05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Pivots!$B$11</c:f>
              <c:strCache>
                <c:ptCount val="1"/>
                <c:pt idx="0">
                  <c:v>Sum of Quantity</c:v>
                </c:pt>
              </c:strCache>
            </c:strRef>
          </c:tx>
          <c:spPr>
            <a:ln w="34925" cap="rnd">
              <a:solidFill>
                <a:srgbClr val="012B22"/>
              </a:solidFill>
              <a:round/>
            </a:ln>
            <a:effectLst/>
          </c:spPr>
          <c:marker>
            <c:symbol val="circle"/>
            <c:size val="5"/>
            <c:spPr>
              <a:solidFill>
                <a:srgbClr val="00B050"/>
              </a:solidFill>
              <a:ln w="9525">
                <a:solidFill>
                  <a:schemeClr val="accent1"/>
                </a:solidFill>
              </a:ln>
              <a:effectLst/>
            </c:spPr>
          </c:marker>
          <c:cat>
            <c:strRef>
              <c:f>Pivots!$A$12:$A$25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Pivots!$B$12:$B$25</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5A0F-4D1B-8D23-D2C2A41B9426}"/>
            </c:ext>
          </c:extLst>
        </c:ser>
        <c:dLbls>
          <c:showLegendKey val="0"/>
          <c:showVal val="0"/>
          <c:showCatName val="0"/>
          <c:showSerName val="0"/>
          <c:showPercent val="0"/>
          <c:showBubbleSize val="0"/>
        </c:dLbls>
        <c:marker val="1"/>
        <c:smooth val="0"/>
        <c:axId val="1182944671"/>
        <c:axId val="1182942271"/>
      </c:lineChart>
      <c:lineChart>
        <c:grouping val="standard"/>
        <c:varyColors val="0"/>
        <c:ser>
          <c:idx val="1"/>
          <c:order val="1"/>
          <c:tx>
            <c:strRef>
              <c:f>Pivots!$C$11</c:f>
              <c:strCache>
                <c:ptCount val="1"/>
                <c:pt idx="0">
                  <c:v>Sum of Amount</c:v>
                </c:pt>
              </c:strCache>
            </c:strRef>
          </c:tx>
          <c:spPr>
            <a:ln w="34925" cap="rnd">
              <a:solidFill>
                <a:schemeClr val="accent2"/>
              </a:solidFill>
              <a:round/>
            </a:ln>
            <a:effectLst/>
          </c:spPr>
          <c:marker>
            <c:symbol val="none"/>
          </c:marker>
          <c:cat>
            <c:strRef>
              <c:f>Pivots!$A$12:$A$25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Pivots!$C$12:$C$25</c:f>
              <c:numCache>
                <c:formatCode>[$$-C09]#,##0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5A0F-4D1B-8D23-D2C2A41B9426}"/>
            </c:ext>
          </c:extLst>
        </c:ser>
        <c:dLbls>
          <c:showLegendKey val="0"/>
          <c:showVal val="0"/>
          <c:showCatName val="0"/>
          <c:showSerName val="0"/>
          <c:showPercent val="0"/>
          <c:showBubbleSize val="0"/>
        </c:dLbls>
        <c:marker val="1"/>
        <c:smooth val="0"/>
        <c:axId val="1275655343"/>
        <c:axId val="1275657263"/>
      </c:lineChart>
      <c:catAx>
        <c:axId val="118294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12B22"/>
                </a:solidFill>
                <a:latin typeface="+mn-lt"/>
                <a:ea typeface="+mn-ea"/>
                <a:cs typeface="+mn-cs"/>
              </a:defRPr>
            </a:pPr>
            <a:endParaRPr lang="en-US"/>
          </a:p>
        </c:txPr>
        <c:crossAx val="1182942271"/>
        <c:crosses val="autoZero"/>
        <c:auto val="1"/>
        <c:lblAlgn val="ctr"/>
        <c:lblOffset val="100"/>
        <c:noMultiLvlLbl val="0"/>
      </c:catAx>
      <c:valAx>
        <c:axId val="11829422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12B22"/>
                </a:solidFill>
                <a:latin typeface="+mn-lt"/>
                <a:ea typeface="+mn-ea"/>
                <a:cs typeface="+mn-cs"/>
              </a:defRPr>
            </a:pPr>
            <a:endParaRPr lang="en-US"/>
          </a:p>
        </c:txPr>
        <c:crossAx val="1182944671"/>
        <c:crosses val="autoZero"/>
        <c:crossBetween val="between"/>
      </c:valAx>
      <c:valAx>
        <c:axId val="1275657263"/>
        <c:scaling>
          <c:orientation val="minMax"/>
        </c:scaling>
        <c:delete val="0"/>
        <c:axPos val="r"/>
        <c:numFmt formatCode="[$$-C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12B22"/>
                </a:solidFill>
                <a:latin typeface="+mn-lt"/>
                <a:ea typeface="+mn-ea"/>
                <a:cs typeface="+mn-cs"/>
              </a:defRPr>
            </a:pPr>
            <a:endParaRPr lang="en-US"/>
          </a:p>
        </c:txPr>
        <c:crossAx val="1275655343"/>
        <c:crosses val="max"/>
        <c:crossBetween val="between"/>
      </c:valAx>
      <c:catAx>
        <c:axId val="1275655343"/>
        <c:scaling>
          <c:orientation val="minMax"/>
        </c:scaling>
        <c:delete val="1"/>
        <c:axPos val="b"/>
        <c:numFmt formatCode="General" sourceLinked="1"/>
        <c:majorTickMark val="out"/>
        <c:minorTickMark val="none"/>
        <c:tickLblPos val="nextTo"/>
        <c:crossAx val="1275657263"/>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 (1).xlsx]Pivots!PivotTable4</c:name>
    <c:fmtId val="17"/>
  </c:pivotSource>
  <c:chart>
    <c:title>
      <c:tx>
        <c:rich>
          <a:bodyPr rot="0" spcFirstLastPara="1" vertOverflow="ellipsis" vert="horz" wrap="square" anchor="ctr" anchorCtr="1"/>
          <a:lstStyle/>
          <a:p>
            <a:pPr>
              <a:defRPr sz="1400" b="0" i="0" u="none" strike="noStrike" kern="1200" spc="0" baseline="0">
                <a:solidFill>
                  <a:srgbClr val="012B22"/>
                </a:solidFill>
                <a:latin typeface="+mn-lt"/>
                <a:ea typeface="+mn-ea"/>
                <a:cs typeface="+mn-cs"/>
              </a:defRPr>
            </a:pPr>
            <a:r>
              <a:rPr lang="en-IN" b="0">
                <a:solidFill>
                  <a:srgbClr val="012B22"/>
                </a:solidFill>
              </a:rPr>
              <a:t>Order Quantity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12B2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012B22"/>
              </a:gs>
              <a:gs pos="100000">
                <a:srgbClr val="83AF86"/>
              </a:gs>
            </a:gsLst>
            <a:lin ang="5400000" scaled="1"/>
          </a:gradFill>
          <a:ln>
            <a:noFill/>
          </a:ln>
          <a:effectLst>
            <a:glow rad="63500">
              <a:srgbClr val="1D3D38">
                <a:alpha val="40000"/>
              </a:srgbClr>
            </a:glow>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Pivots!$F$11</c:f>
              <c:strCache>
                <c:ptCount val="1"/>
                <c:pt idx="0">
                  <c:v>Total</c:v>
                </c:pt>
              </c:strCache>
            </c:strRef>
          </c:tx>
          <c:spPr>
            <a:gradFill>
              <a:gsLst>
                <a:gs pos="0">
                  <a:srgbClr val="012B22"/>
                </a:gs>
                <a:gs pos="100000">
                  <a:srgbClr val="83AF86"/>
                </a:gs>
              </a:gsLst>
              <a:lin ang="5400000" scaled="1"/>
            </a:gradFill>
            <a:ln>
              <a:noFill/>
            </a:ln>
            <a:effectLst>
              <a:glow rad="63500">
                <a:srgbClr val="1D3D38">
                  <a:alpha val="40000"/>
                </a:srgbClr>
              </a:glow>
              <a:outerShdw blurRad="50800" dist="38100" algn="l" rotWithShape="0">
                <a:prstClr val="black">
                  <a:alpha val="40000"/>
                </a:prstClr>
              </a:outerShdw>
            </a:effectLst>
          </c:spPr>
          <c:invertIfNegative val="0"/>
          <c:cat>
            <c:strRef>
              <c:f>Pivots!$E$12:$E$19</c:f>
              <c:strCache>
                <c:ptCount val="7"/>
                <c:pt idx="0">
                  <c:v>1</c:v>
                </c:pt>
                <c:pt idx="1">
                  <c:v>2</c:v>
                </c:pt>
                <c:pt idx="2">
                  <c:v>3</c:v>
                </c:pt>
                <c:pt idx="3">
                  <c:v>4</c:v>
                </c:pt>
                <c:pt idx="4">
                  <c:v>5</c:v>
                </c:pt>
                <c:pt idx="5">
                  <c:v>6-10</c:v>
                </c:pt>
                <c:pt idx="6">
                  <c:v>10++</c:v>
                </c:pt>
              </c:strCache>
            </c:strRef>
          </c:cat>
          <c:val>
            <c:numRef>
              <c:f>Pivots!$F$12:$F$19</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57BB-4C58-81BE-1E4EFADDCDA3}"/>
            </c:ext>
          </c:extLst>
        </c:ser>
        <c:dLbls>
          <c:showLegendKey val="0"/>
          <c:showVal val="0"/>
          <c:showCatName val="0"/>
          <c:showSerName val="0"/>
          <c:showPercent val="0"/>
          <c:showBubbleSize val="0"/>
        </c:dLbls>
        <c:gapWidth val="20"/>
        <c:overlap val="-27"/>
        <c:axId val="422169536"/>
        <c:axId val="422172896"/>
      </c:barChart>
      <c:catAx>
        <c:axId val="42216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ptos" panose="020B0004020202020204" pitchFamily="34" charset="0"/>
                <a:ea typeface="+mn-ea"/>
                <a:cs typeface="+mn-cs"/>
              </a:defRPr>
            </a:pPr>
            <a:endParaRPr lang="en-US"/>
          </a:p>
        </c:txPr>
        <c:crossAx val="422172896"/>
        <c:crosses val="autoZero"/>
        <c:auto val="1"/>
        <c:lblAlgn val="ctr"/>
        <c:lblOffset val="100"/>
        <c:noMultiLvlLbl val="0"/>
      </c:catAx>
      <c:valAx>
        <c:axId val="422172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Aptos" panose="020B0004020202020204" pitchFamily="34" charset="0"/>
                <a:ea typeface="+mn-ea"/>
                <a:cs typeface="+mn-cs"/>
              </a:defRPr>
            </a:pPr>
            <a:endParaRPr lang="en-US"/>
          </a:p>
        </c:txPr>
        <c:crossAx val="422169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 (1).xlsx]Pivots!PivotGender</c:name>
    <c:fmtId val="26"/>
  </c:pivotSource>
  <c:chart>
    <c:title>
      <c:tx>
        <c:rich>
          <a:bodyPr rot="0" spcFirstLastPara="1" vertOverflow="ellipsis" vert="horz" wrap="square" anchor="ctr" anchorCtr="1"/>
          <a:lstStyle/>
          <a:p>
            <a:pPr algn="ctr" rtl="0">
              <a:defRPr lang="en-IN" sz="1400" b="0" i="0" u="none" strike="noStrike" kern="1200" spc="0" baseline="0">
                <a:solidFill>
                  <a:srgbClr val="012B22"/>
                </a:solidFill>
                <a:latin typeface="+mn-lt"/>
                <a:ea typeface="+mn-ea"/>
                <a:cs typeface="+mn-cs"/>
              </a:defRPr>
            </a:pPr>
            <a:r>
              <a:rPr lang="en-IN" sz="1400" b="0" i="0" u="none" strike="noStrike" baseline="0"/>
              <a:t>Popular Products by Gender</a:t>
            </a:r>
            <a:endParaRPr lang="en-IN" sz="1400" b="0" i="0" u="none" strike="noStrike" kern="1200" spc="0" baseline="0">
              <a:solidFill>
                <a:srgbClr val="012B22"/>
              </a:solidFill>
              <a:latin typeface="+mn-lt"/>
              <a:ea typeface="+mn-ea"/>
              <a:cs typeface="+mn-cs"/>
            </a:endParaRPr>
          </a:p>
        </c:rich>
      </c:tx>
      <c:layout>
        <c:manualLayout>
          <c:xMode val="edge"/>
          <c:yMode val="edge"/>
          <c:x val="0.23813998692683991"/>
          <c:y val="2.5961542392722955E-2"/>
        </c:manualLayout>
      </c:layout>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rgbClr val="012B22"/>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Pivots!$I$4:$I$5</c:f>
              <c:strCache>
                <c:ptCount val="1"/>
                <c:pt idx="0">
                  <c:v>Female</c:v>
                </c:pt>
              </c:strCache>
            </c:strRef>
          </c:tx>
          <c:spPr>
            <a:solidFill>
              <a:schemeClr val="accent1"/>
            </a:solidFill>
            <a:ln>
              <a:noFill/>
            </a:ln>
            <a:effectLst/>
          </c:spPr>
          <c:invertIfNegative val="0"/>
          <c:cat>
            <c:strRef>
              <c:f>Pivots!$H$6:$H$26</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Pivots!$I$6:$I$26</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3C5D-489F-9A40-C67BA72E317F}"/>
            </c:ext>
          </c:extLst>
        </c:ser>
        <c:ser>
          <c:idx val="1"/>
          <c:order val="1"/>
          <c:tx>
            <c:strRef>
              <c:f>Pivots!$J$4:$J$5</c:f>
              <c:strCache>
                <c:ptCount val="1"/>
                <c:pt idx="0">
                  <c:v>Male</c:v>
                </c:pt>
              </c:strCache>
            </c:strRef>
          </c:tx>
          <c:spPr>
            <a:solidFill>
              <a:schemeClr val="accent2"/>
            </a:solidFill>
            <a:ln>
              <a:noFill/>
            </a:ln>
            <a:effectLst/>
          </c:spPr>
          <c:invertIfNegative val="0"/>
          <c:cat>
            <c:strRef>
              <c:f>Pivots!$H$6:$H$26</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Pivots!$J$6:$J$26</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7-31AE-4727-A613-FCACFBD3B2A7}"/>
            </c:ext>
          </c:extLst>
        </c:ser>
        <c:ser>
          <c:idx val="2"/>
          <c:order val="2"/>
          <c:tx>
            <c:strRef>
              <c:f>Pivots!$K$4:$K$5</c:f>
              <c:strCache>
                <c:ptCount val="1"/>
                <c:pt idx="0">
                  <c:v>Other</c:v>
                </c:pt>
              </c:strCache>
            </c:strRef>
          </c:tx>
          <c:spPr>
            <a:solidFill>
              <a:schemeClr val="accent3"/>
            </a:solidFill>
            <a:ln>
              <a:noFill/>
            </a:ln>
            <a:effectLst/>
          </c:spPr>
          <c:invertIfNegative val="0"/>
          <c:cat>
            <c:strRef>
              <c:f>Pivots!$H$6:$H$26</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Pivots!$K$6:$K$26</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8-31AE-4727-A613-FCACFBD3B2A7}"/>
            </c:ext>
          </c:extLst>
        </c:ser>
        <c:ser>
          <c:idx val="3"/>
          <c:order val="3"/>
          <c:tx>
            <c:strRef>
              <c:f>Pivots!$L$4:$L$5</c:f>
              <c:strCache>
                <c:ptCount val="1"/>
                <c:pt idx="0">
                  <c:v>Unknown</c:v>
                </c:pt>
              </c:strCache>
            </c:strRef>
          </c:tx>
          <c:spPr>
            <a:solidFill>
              <a:schemeClr val="accent4"/>
            </a:solidFill>
            <a:ln>
              <a:noFill/>
            </a:ln>
            <a:effectLst/>
          </c:spPr>
          <c:invertIfNegative val="0"/>
          <c:cat>
            <c:strRef>
              <c:f>Pivots!$H$6:$H$26</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Pivots!$L$6:$L$26</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9-31AE-4727-A613-FCACFBD3B2A7}"/>
            </c:ext>
          </c:extLst>
        </c:ser>
        <c:dLbls>
          <c:showLegendKey val="0"/>
          <c:showVal val="0"/>
          <c:showCatName val="0"/>
          <c:showSerName val="0"/>
          <c:showPercent val="0"/>
          <c:showBubbleSize val="0"/>
        </c:dLbls>
        <c:gapWidth val="150"/>
        <c:overlap val="100"/>
        <c:axId val="1081854816"/>
        <c:axId val="1081845696"/>
      </c:barChart>
      <c:catAx>
        <c:axId val="1081854816"/>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12B22"/>
                </a:solidFill>
                <a:latin typeface="+mn-lt"/>
                <a:ea typeface="+mn-ea"/>
                <a:cs typeface="+mn-cs"/>
              </a:defRPr>
            </a:pPr>
            <a:endParaRPr lang="en-US"/>
          </a:p>
        </c:txPr>
        <c:crossAx val="1081845696"/>
        <c:crosses val="autoZero"/>
        <c:auto val="1"/>
        <c:lblAlgn val="ctr"/>
        <c:lblOffset val="100"/>
        <c:noMultiLvlLbl val="0"/>
      </c:catAx>
      <c:valAx>
        <c:axId val="1081845696"/>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12B22"/>
                </a:solidFill>
                <a:latin typeface="+mn-lt"/>
                <a:ea typeface="+mn-ea"/>
                <a:cs typeface="+mn-cs"/>
              </a:defRPr>
            </a:pPr>
            <a:endParaRPr lang="en-US"/>
          </a:p>
        </c:txPr>
        <c:crossAx val="1081854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 (1).xlsx]Pivots!GENDERQUANTITY</c:name>
    <c:fmtId val="3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12B2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336567533819713"/>
              <c:y val="0.3576986083283761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12B2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30527043268271581"/>
                  <c:h val="0.22621138423436526"/>
                </c:manualLayout>
              </c15:layout>
            </c:ext>
          </c:extLst>
        </c:dLbl>
      </c:pivotFmt>
      <c:pivotFmt>
        <c:idx val="8"/>
        <c:spPr>
          <a:solidFill>
            <a:schemeClr val="accent1"/>
          </a:solidFill>
          <a:ln w="19050">
            <a:solidFill>
              <a:schemeClr val="lt1"/>
            </a:solidFill>
          </a:ln>
          <a:effectLst/>
        </c:spPr>
        <c:dLbl>
          <c:idx val="0"/>
          <c:layout>
            <c:manualLayout>
              <c:x val="-0.14864872773394755"/>
              <c:y val="0.359375221072355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12B2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20270227851791792"/>
              <c:y val="-0.1484378988914240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12B2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34918937496774577"/>
                  <c:h val="0.16394572093117671"/>
                </c:manualLayout>
              </c15:layout>
            </c:ext>
          </c:extLst>
        </c:dLbl>
      </c:pivotFmt>
      <c:pivotFmt>
        <c:idx val="10"/>
        <c:spPr>
          <a:solidFill>
            <a:schemeClr val="accent1"/>
          </a:solidFill>
          <a:ln w="19050">
            <a:solidFill>
              <a:schemeClr val="lt1"/>
            </a:solidFill>
          </a:ln>
          <a:effectLst/>
        </c:spPr>
        <c:dLbl>
          <c:idx val="0"/>
          <c:layout>
            <c:manualLayout>
              <c:x val="0.4076486527179467"/>
              <c:y val="-6.62549620170780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12B2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8370945079242965"/>
                  <c:h val="0.28089891787581073"/>
                </c:manualLayout>
              </c15:layout>
            </c:ext>
          </c:extLst>
        </c:dLbl>
      </c:pivotFmt>
    </c:pivotFmts>
    <c:plotArea>
      <c:layout>
        <c:manualLayout>
          <c:layoutTarget val="inner"/>
          <c:xMode val="edge"/>
          <c:yMode val="edge"/>
          <c:x val="0.14189143535403029"/>
          <c:y val="0.14843697615463591"/>
          <c:w val="0.60810896366725031"/>
          <c:h val="0.70312604769072817"/>
        </c:manualLayout>
      </c:layout>
      <c:doughnutChart>
        <c:varyColors val="1"/>
        <c:ser>
          <c:idx val="0"/>
          <c:order val="0"/>
          <c:tx>
            <c:strRef>
              <c:f>Pivots!$P$4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CD-4E1B-B5E7-6141DA0A49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CD-4E1B-B5E7-6141DA0A49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CD-4E1B-B5E7-6141DA0A497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6CD-4E1B-B5E7-6141DA0A497A}"/>
              </c:ext>
            </c:extLst>
          </c:dPt>
          <c:dLbls>
            <c:dLbl>
              <c:idx val="0"/>
              <c:layout>
                <c:manualLayout>
                  <c:x val="0.12336567533819713"/>
                  <c:y val="0.3576986083283761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12B2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30527043268271581"/>
                      <c:h val="0.22621138423436526"/>
                    </c:manualLayout>
                  </c15:layout>
                </c:ext>
                <c:ext xmlns:c16="http://schemas.microsoft.com/office/drawing/2014/chart" uri="{C3380CC4-5D6E-409C-BE32-E72D297353CC}">
                  <c16:uniqueId val="{00000001-96CD-4E1B-B5E7-6141DA0A497A}"/>
                </c:ext>
              </c:extLst>
            </c:dLbl>
            <c:dLbl>
              <c:idx val="1"/>
              <c:layout>
                <c:manualLayout>
                  <c:x val="-0.14864872773394755"/>
                  <c:y val="0.35937522107235537"/>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96CD-4E1B-B5E7-6141DA0A497A}"/>
                </c:ext>
              </c:extLst>
            </c:dLbl>
            <c:dLbl>
              <c:idx val="2"/>
              <c:layout>
                <c:manualLayout>
                  <c:x val="-0.20270227851791792"/>
                  <c:y val="-0.1484378988914240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12B22"/>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34918937496774577"/>
                      <c:h val="0.16394572093117671"/>
                    </c:manualLayout>
                  </c15:layout>
                </c:ext>
                <c:ext xmlns:c16="http://schemas.microsoft.com/office/drawing/2014/chart" uri="{C3380CC4-5D6E-409C-BE32-E72D297353CC}">
                  <c16:uniqueId val="{00000005-96CD-4E1B-B5E7-6141DA0A497A}"/>
                </c:ext>
              </c:extLst>
            </c:dLbl>
            <c:dLbl>
              <c:idx val="3"/>
              <c:layout>
                <c:manualLayout>
                  <c:x val="0.4076486527179467"/>
                  <c:y val="-6.6254962017078006E-2"/>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28370945079242965"/>
                      <c:h val="0.28089891787581073"/>
                    </c:manualLayout>
                  </c15:layout>
                </c:ext>
                <c:ext xmlns:c16="http://schemas.microsoft.com/office/drawing/2014/chart" uri="{C3380CC4-5D6E-409C-BE32-E72D297353CC}">
                  <c16:uniqueId val="{00000007-96CD-4E1B-B5E7-6141DA0A497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12B22"/>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Pivots!$O$5:$O$9</c:f>
              <c:strCache>
                <c:ptCount val="4"/>
                <c:pt idx="0">
                  <c:v>Female</c:v>
                </c:pt>
                <c:pt idx="1">
                  <c:v>Male</c:v>
                </c:pt>
                <c:pt idx="2">
                  <c:v>Other</c:v>
                </c:pt>
                <c:pt idx="3">
                  <c:v>Unknown</c:v>
                </c:pt>
              </c:strCache>
            </c:strRef>
          </c:cat>
          <c:val>
            <c:numRef>
              <c:f>Pivots!$P$5:$P$9</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96CD-4E1B-B5E7-6141DA0A497A}"/>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 (1).xlsx]Pivot 3!PivotTable7</c:name>
    <c:fmtId val="19"/>
  </c:pivotSource>
  <c:chart>
    <c:title>
      <c:tx>
        <c:rich>
          <a:bodyPr rot="0" spcFirstLastPara="1" vertOverflow="ellipsis" vert="horz" wrap="square" anchor="ctr" anchorCtr="1"/>
          <a:lstStyle/>
          <a:p>
            <a:pPr algn="ctr" rtl="0">
              <a:defRPr lang="en-US" sz="1400" b="0" i="0" u="none" strike="noStrike" kern="1200" spc="0" baseline="0">
                <a:ln>
                  <a:noFill/>
                </a:ln>
                <a:solidFill>
                  <a:srgbClr val="012B22"/>
                </a:solidFill>
                <a:latin typeface="+mn-lt"/>
                <a:ea typeface="+mn-ea"/>
                <a:cs typeface="+mn-cs"/>
              </a:defRPr>
            </a:pPr>
            <a:r>
              <a:rPr lang="en-IN" sz="1400"/>
              <a:t>Order Delivery Time Distribution</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ln>
                <a:noFill/>
              </a:ln>
              <a:solidFill>
                <a:srgbClr val="012B2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012B22"/>
              </a:gs>
              <a:gs pos="95000">
                <a:srgbClr val="83AF86"/>
              </a:gs>
            </a:gsLst>
            <a:lin ang="5400000" scaled="1"/>
          </a:gradFill>
          <a:ln>
            <a:noFill/>
          </a:ln>
          <a:effectLst>
            <a:outerShdw blurRad="50800" dist="38100" algn="l" rotWithShape="0">
              <a:prstClr val="black">
                <a:alpha val="40000"/>
              </a:prstClr>
            </a:outerShdw>
          </a:effectLst>
          <a:scene3d>
            <a:camera prst="orthographicFront"/>
            <a:lightRig rig="threePt" dir="t"/>
          </a:scene3d>
          <a:sp3d>
            <a:bevelT w="0" h="0" prst="divo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solidFill>
                  <a:latin typeface="Aptos"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3'!$B$3</c:f>
              <c:strCache>
                <c:ptCount val="1"/>
                <c:pt idx="0">
                  <c:v>Total</c:v>
                </c:pt>
              </c:strCache>
            </c:strRef>
          </c:tx>
          <c:spPr>
            <a:gradFill>
              <a:gsLst>
                <a:gs pos="0">
                  <a:srgbClr val="012B22"/>
                </a:gs>
                <a:gs pos="95000">
                  <a:srgbClr val="83AF86"/>
                </a:gs>
              </a:gsLst>
              <a:lin ang="5400000" scaled="1"/>
            </a:gradFill>
            <a:ln>
              <a:noFill/>
            </a:ln>
            <a:effectLst>
              <a:outerShdw blurRad="50800" dist="38100" algn="l" rotWithShape="0">
                <a:prstClr val="black">
                  <a:alpha val="40000"/>
                </a:prstClr>
              </a:outerShdw>
            </a:effectLst>
            <a:scene3d>
              <a:camera prst="orthographicFront"/>
              <a:lightRig rig="threePt" dir="t"/>
            </a:scene3d>
            <a:sp3d>
              <a:bevelT w="0" h="0" prst="divot"/>
            </a:sp3d>
          </c:spPr>
          <c:invertIfNegative val="1"/>
          <c:cat>
            <c:strRef>
              <c:f>'Pivot 3'!$A$4:$A$19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 3'!$B$4:$B$19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4A59-4688-B2BD-8AEE1A3C8B33}"/>
            </c:ext>
          </c:extLst>
        </c:ser>
        <c:dLbls>
          <c:showLegendKey val="0"/>
          <c:showVal val="0"/>
          <c:showCatName val="0"/>
          <c:showSerName val="0"/>
          <c:showPercent val="0"/>
          <c:showBubbleSize val="0"/>
        </c:dLbls>
        <c:gapWidth val="17"/>
        <c:overlap val="-27"/>
        <c:axId val="897043360"/>
        <c:axId val="897044800"/>
      </c:barChart>
      <c:catAx>
        <c:axId val="89704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ln>
                  <a:noFill/>
                </a:ln>
                <a:solidFill>
                  <a:schemeClr val="tx1"/>
                </a:solidFill>
                <a:latin typeface="Aptos" panose="020B0004020202020204" pitchFamily="34" charset="0"/>
                <a:ea typeface="+mn-ea"/>
                <a:cs typeface="+mn-cs"/>
              </a:defRPr>
            </a:pPr>
            <a:endParaRPr lang="en-US"/>
          </a:p>
        </c:txPr>
        <c:crossAx val="897044800"/>
        <c:crosses val="autoZero"/>
        <c:auto val="1"/>
        <c:lblAlgn val="ctr"/>
        <c:lblOffset val="100"/>
        <c:noMultiLvlLbl val="0"/>
      </c:catAx>
      <c:valAx>
        <c:axId val="897044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ln>
                  <a:noFill/>
                </a:ln>
                <a:solidFill>
                  <a:schemeClr val="tx1"/>
                </a:solidFill>
                <a:latin typeface="Aptos" panose="020B0004020202020204" pitchFamily="34" charset="0"/>
                <a:ea typeface="+mn-ea"/>
                <a:cs typeface="+mn-cs"/>
              </a:defRPr>
            </a:pPr>
            <a:endParaRPr lang="en-US"/>
          </a:p>
        </c:txPr>
        <c:crossAx val="897043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900" b="0" i="0" u="none" strike="noStrike" kern="1200" baseline="0">
          <a:ln>
            <a:noFill/>
          </a:ln>
          <a:solidFill>
            <a:schemeClr val="tx1"/>
          </a:solidFill>
          <a:latin typeface="Aptos" panose="020B000402020202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 (1).xlsx]Pivot 3!PivotTable8</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012B22"/>
                </a:solidFill>
              </a:rPr>
              <a:t>Customer Satisfaction Ratings</a:t>
            </a:r>
          </a:p>
        </c:rich>
      </c:tx>
      <c:layout>
        <c:manualLayout>
          <c:xMode val="edge"/>
          <c:yMode val="edge"/>
          <c:x val="0.23672276306549411"/>
          <c:y val="3.4722203235890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rgbClr val="1D3D38"/>
          </a:solidFill>
          <a:ln>
            <a:noFill/>
          </a:ln>
          <a:effectLst/>
        </c:spPr>
      </c:pivotFmt>
      <c:pivotFmt>
        <c:idx val="89"/>
        <c:spPr>
          <a:solidFill>
            <a:schemeClr val="accent6">
              <a:lumMod val="60000"/>
              <a:lumOff val="40000"/>
            </a:schemeClr>
          </a:solidFill>
          <a:ln>
            <a:noFill/>
          </a:ln>
          <a:effectLst/>
        </c:spPr>
      </c:pivotFmt>
      <c:pivotFmt>
        <c:idx val="90"/>
        <c:spPr>
          <a:solidFill>
            <a:srgbClr val="1D3D3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rgbClr val="1D3D3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gradFill>
            <a:gsLst>
              <a:gs pos="0">
                <a:srgbClr val="012B22"/>
              </a:gs>
              <a:gs pos="100000">
                <a:srgbClr val="83AF86"/>
              </a:gs>
            </a:gsLst>
            <a:lin ang="5400000" scaled="1"/>
          </a:gra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rgbClr val="9CB38C"/>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rgbClr val="6E8B61"/>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rgbClr val="6E8B61"/>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rgbClr val="0F4D3F"/>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rgbClr val="CFCFCF"/>
          </a:solidFill>
          <a:ln>
            <a:no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3'!$F$3</c:f>
              <c:strCache>
                <c:ptCount val="1"/>
                <c:pt idx="0">
                  <c:v>Total</c:v>
                </c:pt>
              </c:strCache>
            </c:strRef>
          </c:tx>
          <c:spPr>
            <a:gradFill>
              <a:gsLst>
                <a:gs pos="0">
                  <a:srgbClr val="012B22"/>
                </a:gs>
                <a:gs pos="100000">
                  <a:srgbClr val="83AF86"/>
                </a:gs>
              </a:gsLst>
              <a:lin ang="5400000" scaled="1"/>
            </a:gradFill>
            <a:ln>
              <a:noFill/>
            </a:ln>
            <a:effectLst>
              <a:outerShdw blurRad="50800" dist="38100" algn="l" rotWithShape="0">
                <a:prstClr val="black">
                  <a:alpha val="40000"/>
                </a:prstClr>
              </a:outerShdw>
            </a:effectLst>
          </c:spPr>
          <c:invertIfNegative val="0"/>
          <c:cat>
            <c:strRef>
              <c:f>'Pivot 3'!$E$4:$E$8</c:f>
              <c:strCache>
                <c:ptCount val="5"/>
                <c:pt idx="0">
                  <c:v>1⭐</c:v>
                </c:pt>
                <c:pt idx="1">
                  <c:v>2⭐</c:v>
                </c:pt>
                <c:pt idx="2">
                  <c:v>3⭐</c:v>
                </c:pt>
                <c:pt idx="3">
                  <c:v>4⭐</c:v>
                </c:pt>
                <c:pt idx="4">
                  <c:v>5⭐</c:v>
                </c:pt>
              </c:strCache>
            </c:strRef>
          </c:cat>
          <c:val>
            <c:numRef>
              <c:f>'Pivot 3'!$F$4:$F$8</c:f>
              <c:numCache>
                <c:formatCode>General</c:formatCode>
                <c:ptCount val="5"/>
                <c:pt idx="0">
                  <c:v>21</c:v>
                </c:pt>
                <c:pt idx="1">
                  <c:v>127</c:v>
                </c:pt>
                <c:pt idx="2">
                  <c:v>495</c:v>
                </c:pt>
                <c:pt idx="3">
                  <c:v>1036</c:v>
                </c:pt>
                <c:pt idx="4">
                  <c:v>721</c:v>
                </c:pt>
              </c:numCache>
            </c:numRef>
          </c:val>
          <c:extLst>
            <c:ext xmlns:c16="http://schemas.microsoft.com/office/drawing/2014/chart" uri="{C3380CC4-5D6E-409C-BE32-E72D297353CC}">
              <c16:uniqueId val="{00000000-9210-47F4-B475-0D5F4CAC8EBC}"/>
            </c:ext>
          </c:extLst>
        </c:ser>
        <c:dLbls>
          <c:showLegendKey val="0"/>
          <c:showVal val="0"/>
          <c:showCatName val="0"/>
          <c:showSerName val="0"/>
          <c:showPercent val="0"/>
          <c:showBubbleSize val="0"/>
        </c:dLbls>
        <c:gapWidth val="20"/>
        <c:overlap val="-27"/>
        <c:axId val="1271541072"/>
        <c:axId val="1271542992"/>
      </c:barChart>
      <c:catAx>
        <c:axId val="1271541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ln>
                  <a:noFill/>
                </a:ln>
                <a:solidFill>
                  <a:schemeClr val="tx1"/>
                </a:solidFill>
                <a:latin typeface="Aptos" panose="020B0004020202020204" pitchFamily="34" charset="0"/>
                <a:ea typeface="+mn-ea"/>
                <a:cs typeface="+mn-cs"/>
              </a:defRPr>
            </a:pPr>
            <a:endParaRPr lang="en-US"/>
          </a:p>
        </c:txPr>
        <c:crossAx val="1271542992"/>
        <c:crosses val="autoZero"/>
        <c:auto val="1"/>
        <c:lblAlgn val="ctr"/>
        <c:lblOffset val="100"/>
        <c:noMultiLvlLbl val="0"/>
      </c:catAx>
      <c:valAx>
        <c:axId val="1271542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271541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00000000-1997-4D7D-AC79-921CD49D073A}">
          <cx:tx>
            <cx:txData>
              <cx:f>_xlchart.v5.2</cx:f>
              <cx:v>Sum of Qty</cx:v>
            </cx:txData>
          </cx:tx>
          <cx:dataId val="0"/>
          <cx:layoutPr>
            <cx:geography cultureLanguage="en-US" cultureRegion="IN" attribution="Powered by Bing">
              <cx:geoCache provider="{E9337A44-BEBE-4D9F-B70C-5C5E7DAFC167}">
                <cx:binary>3F3Zctw4sv0Vh58v1VgIApiYnogmWZtU2r20+4VRlsrcV3D/+psl2T0qFuWmbrgeblX3TIdNJpjk
ARKZJxPAvx/afz1E203xro2jRP3rof39vVeW2b9++009eNt4o85i/6FIVfqtPHtI49/Sb9/8h+1v
j8Wm8RP3N4Kw/tuDtynKbfv+P/+G1txtuk4fNqWfJrfVtujutqqKSvWTa6OX3m0eYz+xfVUW/kOJ
f39vbSL/W1ok/ub9/jXy+/t7X4V+l1bvrLRKyu79u21S+mX3ocu2v7/fa4i8f/fb8HkHur2LQP2y
egRhHZ9xipkgBpXPv/fvojRxv1/WMCFnBmUGQwb98dirTQySb9HpSaPN42OxVQpe7um/Iy3svQl8
kT8mfImH3RfZoeACIL+//5j45fbx3X25Kbfq/TtfpU+frOisdPe6H++fvs9v+zj+59+Dv4AvNvib
F1APP+8/XdpH85+Q3iTvzG2RbIpHP0l/Pd5UP8NIUCwoRU8/QHUPb8zPiNSR5HIA95sVewX08Xam
QD8ueWIdYL0Jt0eAXZ4hnWKO5HfYwU7swQ7DXGKGDcGNfdyn6jOO9p70BIz37j8xZC+3xQOYpid7
9CtNOOVnFBnSEIZ4tuBiiC060wWWHHP9acjjfYSn6zWO8UB+AsoDiRPD+RNMzlWxOQLQ+hkRYLwR
5eNAYwm2m2JkIOgCzy7C81z9BpXGMR42MAHkociJofxHBF7Q4zFQ5mcC6YKIHx4ZHw5nckY40bkB
NvwlyG/QaBzkYQMTQB6KnBjI641S2+TXj2QdLDJmupDk2QlDQy+MoDMDLuvCAPRfgjxdo3GMB/IT
IB5InBjCyyr+mkaP5VEw5sLAuk7Ao9r3tcAHNzBFMMZ/hFwvIX6LSuMgH7QwAeYDmRMDep2qd38k
7jbaql+PNURViBFChc5emZnFGdEp1cEHG3PB3qjcOOpjjUwAfkzsxLC/3yTl5p25Kb5ujuSX6QSB
qZb4GX0InfcGPPhlhhRUx9QYG/BvVm8c//FmJvSAccHT6wPvbH/rHoNTIWccM84kGUZeQKZggwpg
W77bhf3JHD78dJ1eBX3QxDTAB0InBvYsemenxebxGGCLM06kwcgPvnQ42MF1g/AM64IZY6b+TaqN
Y37YxATMD4VODPPLTeEfwVUHdkVyHUY3+g74cIwDc8aATwXrPwi6Jys0jvK++ASE9wVODN3nOcqK
jjOBA4MGvhlwo68xaPhMCIF1prMDCw6exWS1xpEee7cJeI+JnRrqVVluiyP46/IMU0IIJt89toNB
jc8MwiB4kwM6/H6yRq9gvS8/BeZ9iVNDOI02R8lzQcAF+AnOvyc8gPTe88nBbCNdCob0IcKTNXoF
4X35KQjvS5wYwlYK+dkdT6p2lvJX56+pOEMYrDZ9jRMHnDEFZ4zjwfT8Vr3G0R5tZQLmo3InhvyX
6usxEAfbDeQpg4TWM3l6kMrEZwzSmEIfVixM1Wcc6T3pCQjv3X9iyN5vHgpIfyTlcQIsxg0JYxY9
kyUH+Q98psvdP3Q0nfk23caxHmljAuIjUqeGu78tjsKgyTOIlikQ4s+QjuVD4CJwbDBh736DFPb9
ZL1ewXtffgrW+xInhrO9jd5dpVDz9usn7F3BGdM5J7tZe/c7GN6Q5YZaFUhvDvKbb1JqHOfDJiZA
fSh0YmjvaMhLqJc7hjHnUHoCaMsfBOgB2pDMJhBZS304pN+i1Djah+81Ae1DoRNDe0cTZana/Pqh
DVQZgE04VJM+e2bDmAvyINLQuSBQh/b02ydT3qLZOOIHLUwA/EDmxPDedeh5sUkefPWQ/vjgv6By
GNDmAiEOxNgzmAdEODmDtBjUFlO48jLBvafRlG44DvZ4MxMQHxc8NdjTJI2PMcjFmU6lITkM4qff
QenKUzbM0MEUDGCfrNEreO/LTwF6X+LEEJ5DNf1RqDNjtyTAgAj79XQ2Fwz+wQM2fLpG4wgP5Ccg
PJA4MYQvof9OsY9vW/IBlBlhDGqTftjtoU+2KyMlYNVhlt4fwVP1GUd3T3oCtnv3nxiyi2ibHCNZ
CXE0QUCNHdacAQ0qBeaUDaKqyZqMg7ovPgHVfYETg/UClowdo7zMOKMEQmb9R3nZ0NXaFRjBNUhn
wVh+6WpNVmgc3X3xCejuC5waurAu6wjmmJ1RDlQm05/rRXbc1l6mCsDdpTggYTkEd6I+r2D7UnoK
tC/vPzFkYblg4qtoUx1j8HIYmwgMr/Ha0it8htCuOpQPMlRv02oc5ZE2JmA9InViiF9uk8f04ThL
LHcJqh2xyfE4DUIoMJzcoHTHfb601m9SahzvwyYmwH0odGJo7yL+deWrd9dffZUdw6dmsDSLGBhW
bLyCOSzoAPuOMRn41P8H1caRf62hCfi/JnpiveBLGh0DenFmcA4ENoJoeG/iJpDq4FDyD4s99sf5
VEXGgd6TnoDu3v0nBumdX28L5T8eIVFF6ZkUiFH63S079MugapBzBD73YEi/SalxjA+bmAD0odCJ
oX0NNLZ7HKhh7YYuhLGbt+E3LAeEOn7BKJLGMPE8XaNxnAfyE0AeSJwYwjfR5uEoBZ/iDPisHcby
FdYanHAOOyQg8twDBkN6ul7jOA/kJ+A8kDgxnD9svc0xshOwsBZzcLTYj8LeIVMC5YAEFmLpBn7O
UQ5m5ul6jeM8kJ+A80DixHC+9zbqGGWfgDPjUOAn6GtFgOQM1l0hAU75vu81XaNxhAfyExAeSJwa
whBanaebvDrW4htYeqMTSCQ//Q6SjRh2vABeVMrxurC3KfcK4iONTIF9ROzEsL9MgUP59YwolIjp
Ekngs78vlz1YQA+jXydMB050f3BPVmgc6X3xCRjvC5wYun/EsIDyGItvxBkstjIQFHsOA2ZYOskJ
bGGDnr20weQ8XaFxeAfyE/AdSJwYwB8qWE53jHAK0lUU7Rys7872SEaDyN2COjYYv9M1Gkd4ID8B
4YHEiSFspVF1lEo/qBBAklADP0+76GANBqyugp2qDDlcMDldo3GEB/ITEB5InBjCV5vsOEVeBCq8
dEgov+J3QRgF2xMhKPXcn4Gn6jOO7p70BGz37j8xZFdxti38TfTr/SsKFXqwVwXb0R2jXjVmsByD
QQEYzNK732Aefotm4zgftDAB6wOZE8P7cvO4PcraGgOKrgnU/cAWBj/Q3E9ToDPY3BfKNfGA9Jqu
0TjKA/kJGA8kTgxhSLPtuJCi6o8wpgFlDrwW+hEzDSns3XpnKOoDn2xIiLxJq3GkR95sAtojUieG
uLlbu38EsKHMDwONCTVDz2z1AdiwBBbqiSDbPDDdkxUax3lffALE+wInhi4UqMLuFNvuCAAbkFOG
rDJFrxXZw/4UzAACdLgJ6Ft0Gsf4oIUJMB/InBjSN1EFJwUcAWdYEEUNDptJfS+1H5Ziw2ZSUFIC
VBgdlNpP12gc5YH8BIwHEieG8IcKQuU4OYaxhg2kBGypDyT1q/4XrHzGWJADNmS6TuMoH7zVBJwP
ZE4M6T+izD8KzlAHBMMUKJFXJmWo4+Xwg6UXg4VR0zUaR3kgPwHjgcSJIXy1rTePx2BFgPUyCIcN
2L9HUiPZKAQlgNABBj72dI3GER7IT0B4IHFiCO8KFs0tHPVyjHo+A2p9YO8oCJn/LgXZj5chPYUI
gq2dByi/TatxpEfamID2iNSJIb5KuiNhjQgsmYL6zeffICOFBSybkoYByYp9nnOqPuMo70lPwHfv
/hNDFs692kAR51Hc6x16BuzyB2WaT7+DNAVUZcM2QxBKD4bym5Qax/iwiQlAHwqdGNofYJNWOLns
14dSUBHEYYUUVIt8Lxo4CKXghCNgTGAP7gEn8gaVxpEeNjAB56HI/wOUf67i3jvvzjj744e9HNlq
4o1n1MFOE1DsYRiwvfp4BLVb/ohhQwLYF+6HFX+5rAYG1d8n6z3//ZhO49i+lN17x+dX/PlHOc7p
c6+fTPf3QX/2ptzMno4IfHE43c+vPr0+nG04EP2+Pmnsg32/tHr8/T0DV+kFqLs29hY2vfyKzwj8
V2oLFYK/v9cwhlMxdgcoINj4icHuAtBgs32+RHTwuMDnhnV0AnrBbqugBHan8uD4QmC18W4pO9pB
D3tKwTSt0mp3CbJcULwPmw/BtmFQJggLKP8+v/EmjTo3Tf7+IN///C6p4pvUT0r1+3sMz8ieb3tS
FTEJJaNwPpoBpByFgjTgY7KHzd1uwS/c/T9lT9Msr6r2KmmonNWN42VmSgMeWiFv6ltDY9150NZJ
OEMoLL+UqV5/DHXV5qaSSf75xdcb0waM2VAbOKMP5jU40gvOCtqZtJfa6EmXhdKr6iuSJ/jKDfvE
MSueGp7V1mUqzbrRqy+8zjTfLGJR5lYeFKFrOr3iugWV0smjLEt0DW14lU2iCH/smSbwojOYs8Wd
htv5zzUmEOMeaAycJhx5IxmHo0/QQGOfe4BtV17RlrmubbR99LGGDVrpvORdysy6a3Fg+9wRZs+N
zje7ENFFXBcdtos6LR+9Vils+VrGbAWHc9ZmGXuoNnnBQnfmpoF3E1byPFbSUza4A/KT8vKLMGpY
O/OVZlz6hVfHi5+/1SEMUDOOIJkKu5XBRv9PL/2iU/BOcxsti9RVUjryU+oKTEw9JNA1sqRqb5q2
kPeZg6M/f/7YXV972RfhFBHYzpRTcFxgV3JCd2q9eCxDratnyk2uEtHjKxx61VWiCssXjvfp50+C
4XPwJAnBDoeTiGDDTTHoZ1mid31eeOmVyJC+yZu0iBZOKTpihpk3Q3kV9RZFnUitgLIm/qdOs+sU
+y8KHQX8cx0cNDgxZ/h4IMh9z01i/4rnIdvEQcU2YbTTgfWxmhlFmpodAugXTZQ3xMzDlG/LSKpV
Izt93Rq0QBZtgjS0Ap7EH2mREWp7ouu2mVZnNtL6mFtMpnqxZNToK/PnX2+3H8pQf74zG1AIAwd2
QZCxDxQyKpYw5miXuHLijV+UyjWxFpaJbtKuS9zzxvPDr66Q2brtc29upHrrWwTX/FvJ+z61Os/l
lp4G9dYvKH+sWebx858rqbMDkKlOoRPt/CZYuMo40Bovu5NRCB8VXkkvAz3PHCnsUnr9oi1bKudl
XVVW0eboto47Vpme53GrwMlCkSJbRHpGrDDK47ssYnFr8qhxPzdBnK46VZZmxvLso6FCYTt54lhV
GgS+6Zc0aEwnUMlVk2nqOtd6OnNdLANT650ktkjtxUtmlNEdCdwbt0toa0YVz69KJ/9QklijtlET
+JB+R8A26FXfm6gRwTrymPjioEo/9wyB173b1tJqkKfHUCPU+StNFF1sNp3obdwwze6D9iFTeXlf
IY17ZhOXfO6ovFrpDiEfcg834cLhGvbN3gudr1C2WNSmn+TaX1XMYzvLFFmFaZKtcC6jR7/ODBj3
NA7vfem03Kxz3T0vnKKyOvgOC6wTeZ03cTvTmyKfY9ziehbBvsWuVTeuyK2aeM4sVrSwq0xee47m
IhvjtFzCVEMaK0GBYYqSR3+2MfIuSCGze0ZLtqhkoJG5MuJ+I4y0mCnUBv28DoU719oWbYiKmm/K
zTJm9aRElZm4pHbnbRmkMDiaZta5dSXmRep4dlTSeJnArSZs5Fak8KHjmpuBCgLN4k7DTZ6ytjf1
MnIsWmpJvCiMcObqVYduG4p1OO+4QJEZQE8q57RspFq0lLdrI+z7yLmtmryMY7Pzoy4pHj3HI6T/
ohqt5bFnygJMefpAujgoaQGZxarK0FUZlnHYnks/7xe1rEpnFRe+n5kBidJ7xDW6CjpKK6sCDByz
y5FsAa5YCDtxHJgPyyhs8pkRNi6yiqjEzrWXI4Ony7DjjWd3bSTLtaFKCj2qcVKsGquCuXBuaF7g
XNcwdAzXykUmoMPRUMXzJPILaUY5TF7OrK19w9Ic8FyZ2Tko0WEbbCeOLU9WjTNvIh7FM+WAVzBn
iRv3lugZWMyEhHplxV6hRWatOlfdKF+L41nq+uKbVtXcRzZKSbnwdVGJK6Y5rnOeUF5yFlhJq/K+
Wyqo6Si8WeZ6PJ45qu7zuSxU4s+7yIi7JVIqzixGusi3eMu6aFH4ua9ZACv5rGVxj21Y+RjGNvwP
addRgDQFnzxJPgdxLOMVLWQZzUKvNO76qqR0HmgpwRde4ymemNwjXrlwijpL7mEypueB25NwXmWg
wSwtI7efCdz20hJBlzWXseiga2swVArbwbg6Lyhjke061K1sntQAp88V+CdJH9B+G4WwAZktQIHY
pl3s5SuMfH3p+jw0LBKGObX91HfsvnJCZmpNkcmbwGkC3aJ+HvRmnAW9doGcSJ/jzHEZqCt5NsOd
16crz8eNOwul7jXm7j4TS18m0H1cmltt42u9Wba+9lcBhFSnmT6MI3KF+8TvfVPUukY/dFFDqisj
k11qJzIvL1mVwJTkKh6CgIwpfC3H93DypcdR4p3nXRy1c9Ww3r/ApVt+0APCNqx1YscUGDrvvEpa
TmfK6H1QvsJBbEc0D5UlGmfmYz//EjUNeBaBG9T3ihnN16zw6LLmjevMRMgQMRPhQDssSoN2nhQ1
vurbjOq3qmT4Ay41uKMxNCWsEne8ndUkDvxl0RLSrBLuKnLta1x+SlC+65xBkKsFj5SnbtpOL4WF
8gaw8ZoEFEsVGN0LmMHkJyoQ9O4YrGRhw/GzbboqlXTITVBUYXhHRCL1VasHTXVZtuXO+fS69oaF
mtHO0iaGR6dp39dmS+KyX6CQ715+p3oD9gn0ymJ8pbME3qLKGXwqL0zD3pJhDUMni9zQv00KDkO+
qMArcOEa2FRSJt51jvWuSEyaeQjgboq2uow1L1Omj6q8nbeQc6ezrs7JzmjAYLLgjcCAtBLv/OQy
iT85cPjPuah9X5jCYyH0i841Nk1CQY22CLo7WrZIXbjg5gYXaZaEwb2A2WKhEoSvcunmX4BANnLT
0z2fnKfCldWF46VubXcFzxtwcDu6yAh8VgvxvHsIo5DdtJVC6TJHXR1+bozYVcvY0eJvXS93NsTP
I8+GOEDQmU86T80zI5afNeTE87jJ3NzkOpi5rmi8Oz8t1YWMw4DZjBTEBbMHG/KatUfkpyLQancW
kQSGSa85VK70JMX5NgaD3J3D/lEwNpqdxZ4FTIMv2tZ9PYNJpskvcFERw3JkVNYw09IageudB38V
spYftA7c9PNelgV+LFXSKTPGmNcrvyHQVBtjr7f0xjXcVQawNJYWSmPep3VdXrYdj+6DWuWm4Gqp
x23Nln1jADghwqpfZFGYppeJ0eprrUR6OvPyJK4v3K7JPEswFXsfwBNRj0gmYEbAdKraDD3VKFM2
tchhFujy+8jNsf8nTnsqarMHD6z7mJVUk9CYcoqZx7XQPdecrPnquUirrYgrI1z5EuHbVmlOvyiq
XPkzv6+gk/qkDOhNG0Y9u4qNLIrMPKuRcaljT2+tDrwbNWu8DFBrROK7ZtHzGGyHUtEMt7Qt7Doi
olj0IofeH+qty+3O6ZCynEwZ+eeGdfhD4BXQ12Cmk5+gr8fqJpEJBgNLMhnMRewZjdlWX4ioGoHN
MKz5R0aSvLEb5pb6pe5Eor7LHSULmNyhR88ynwKaEDh07dqnZZiueZF59Ia0KDJWTptKeK+21dzL
sNCyxo6VAzYDvLGqvIwiB/QvZOjOlSdCz25ahFZdrsO47wyD+6buePzyySv9zl3cPDv5zwH4Q5p1
he965eCP//mQxvDvv3cyf9/zRFP890+X/kORqvRb+dO7Ftt0dw6yGt601zI8/bt2O/pi7w8HVMor
ZMndVlVR+crF15mUv0uod0wDlORSBpzGCyf+gE55cWTjD5ZtX/RvTmW39xDkm5/8e4p0aPUHpwKZ
DahJgCJgTiFwhcD0b04FDrOEUgQCOQ8JW7KjJybmv5wKHHOFYX0tg/pwAefFv4VTGYmOEAIyAHZR
gHJkvts/42XcEcCAF00ig6sqnvWMwwSx0P+JKYFdWA5jMPiiBM7ogjVjcBDfIFjOHT+KWM+CqzIN
/MhOBUp2vmYnLIeScBZQiJxTmALW3BXgB2ReYEW9cwGDNLhDmXcb+WJBmOevG4QqG2GNWVhUkRlh
H1nI9VYNiVdV7V36tVxmFV6jvrmFWfIy79OLtqDXfuGeoyDszLh2XTNAuZzzLvJMp2IdGBP5iFvw
RcAPg4tlCLFOVH3zWVuYKjGM0CycSkrTAfmWa9IEmsQxzhuIXBdO03K71FRnBpJ4YBD6NDdhagZH
l+ifwLhzmMYZ/QtCJmVqQCUsfBR6xsyr8iyapV0efk5T3NmdCFG3dGXmBCtMkxLmCiqujE517YJX
YWC2hvA8s6QZFZ96kht2lBNwKLXeYAucNhC6WhkcfMpzq2Jx2Tkmapl2LXKiXUL7ma381Ay1trpI
tWQhUt23jcopTOmRyC648Jc00sPzqs0NcQPPU/Qv1rlcXZAurVPb7ehdCjRPe+PhIDNzt5MXsjD4
ee1W7pddnvZzzT3XFFHX3+tlUukrkYassIBnbPql8GrHsFCj5Mc0FdQ0Ej2baRXSbZK1nhVVYWPl
rtutasLqK1lVfFbCN18nQJZtlOdetF3twmcXxJQ5BJEkxjPY+ck33ahu7vq6Og9QF81kiuWd2zFs
loHn26KT3jzNYmS1oW7XKbZ57n8WMavXAF1tG7nfz4oyIbYiBjLbqPXPgYDwZrzs+kVZRthKpKNf
Ka8mNYQ1amHQetnoCbe9lqhbNwvwTGjxpZ9ElzW43XOYLG71lK2EVwW2Y0RLYDpD26XoRsnmvoTp
+KNbt+JbilpTBaFtNK3xLfUrm8XKDp0cf0BaNXeNcq6RNJxJLZ6HQplBC5GPMrJHpUrIyEM5ZNB9
ygPNLmh9Ltt4DgYEnI9+obfoshO1TWW5xIys+8Kz3aL+ilh1mcfaPGrwjBY5+GvdQ1L1pps+QKyO
7caI6KIFL9QOWf2FGf7XqDf0GdAG6ryEyBgc/H5NYrKiLrk0sspuqvALsFHAAtLITgSfObUxd4lY
Vqj/0jpq5sYOcEEoN6njZiYGr2wVMCAXIQCwGec38I53rKoSu/V71/YLR1l6jfxLTzdCy3PIbRkl
6hJC1QuXtNCZS7yI8haZocOhl8XdhYRBhFJuElnYrRBrkdG13qaftb60QsbvK+LeJnm25vDnmsh1
XNW3nvTPI5LNiBP4QHe0JulCbAZek1kV8FiWW6CrUAv/SkP8VxbG574KL9JInAcVvu0bbIPPZqdR
dMn0wMqjvLvoOV8Cv+uBi9o95CFfVpLZssh802tbs+ubc5H23Srvk+S8FOlj3Dnc1Lwksjs3SmzW
0nCRy2zhKKzd9Z2W/wN5h3clikP2a8fewZEdAsFVMbDvXodj1RmRf5XmIZnVkexmvO5CO47raF3G
tLF57czd1Ith7Ue/xVmubvM8RB9ELyIzbdu7qgjWqHXsUPLPqC0XuWd8A2/bBe6lKGZu4CDT6NA8
7aFPR45vpQ5TVhMIYCjymthclMs6Tb8WvK8sP1CfCPfyWY1LamEUpmaUWE1uqXaFs5CbpZMscFAs
iF7fRCRdqJg/dlF8X/HgHCLNi15F53lF1jxL10IRuSgbiABV5y9J6zFL1b5lOFo69/Rg4TLEbYXU
nd5V2Mo84xx5EsY1ddHaKXFpBkX7MfBrHXiWKoe+QK51v0+s3DA6q/XDyzrrrzwVrMKGLVhT+rYf
5SsnCaVZicI34x25UwYz5mZr8A+BBk8giIuaCyhyXMK8VpigZQ/zmpqnQXEdBtEdnH/omnVSR7aR
aL5FM2Q6RXHjU1XbcS8TsyiCj3qn56bb+huJ+AUwWr7ZQgcVRT+HsPsxzNECZzEzdfwliDs7poYF
SwCXDdghqmCxuORrlAMp70rt0cFGb0KQYxqVas0wivFKy3a2rFz73PiToGiOINgxhRZ+6WKCrUB1
4Uz33GvaM2wnHgHHMgvEEoLV6lNKaXPh+3lxGUHwuHrhPX33NV8md4a5CSDTd8cSCA5r2iBjtNuW
b88R6Qtg6mugmZ3Kt2lwXpB/YoJ3RO9/iWxoknLIPFOo5DVgmyGxW7f+8gnALSdMSNe9igygOY1r
v/KXfnZXNAH0hMjyDWBvgtnP3woW3P7DU3fv/SJPUGVhmelU0y5Rl9zvzi83gXS+h1nxT1cH38OT
SWCVgn02HLqqqyS0aiAFYVQ0qYWIn1pJ0f+ZanztlzqyINKaR7LBX4WncztGwUdDxI3tht0Fj/Qv
hgMsHY6oUUFvStJZ1fNkJjItt3FWC4snXbeqgOb4miZBOdf7GAJZ33+IoK/OgJDzbLDAnV0KA1l1
Je8rPeoXYA8/Vm5NVrFLb7yufAy4XMKk9EEVxdzYxXiEBUuKPG0WIPBQoiZJFl1fISuPDd0uGuaZ
3G/viJfYie/XVk5dw2Syu4BO/y1XkDJQmb8qdG3ZNfqHtg8+6yg8Z2VamJAuc03foZEVlH4CnZit
wj64IA2ElJ1DbBohBBNMCFYWfa5RBzcH8aXw2kVSNLPa6aEHo1lYukAG0sxOg1iYWR8Iu4icyywX
lsv4EqcGcIJue+8ZAThwmfahKsPMpLREVs/LhZb5sYmrdGO4+WWB4ts8i60C6BRT4fOa1ZpZM7rk
iQCLiPHHpPOWrdO2dl1UV5kBc2SQsVVR6FuRo8pygM/Imb5wM33Nm8j6h+72T31854i/6G2NDi4G
6aG3Bevkxr3S5vlF/qlZ9Cu2NNYCph7rgTQmO8eXyV/Nxc8fvjtpe2SAcQob1xMoBNilo18+HGee
SEKha5eZzcxkTaxsXrUmvtA+8zmaoY/XmrX+XM8CZdYb+L/oqlsj89yfO1c0M+N/0GZ/4nse7RSB
ewkroCGMYoNcZ4eaWMc48K48dJPRCIinz0W9/Pkb79usw2cMMnN9EVea50UeTK5bt1jK7vbn7Y++
A+wAz7kAihs2H97/oHFr9BoCyvgq1W5yCeOBgc/5bKF+dZD//zB8h6/520seYK8aYr0JtyNxO8j8
iNthsR6s7sKGjqEgAgJkAPdH3A6bxyKpE9g6AfJNBtzx37gdVoVBHI+gEAYuQhkFNPgjbofadFhm
giBxDGnqp5D+h3bfp8ef1ULAvLU32hgE7bD6CM7cBL8OKnKACdjvHJICY4ryhF2HdeReaG6cO/dt
Gyb50iB+uGiAkDA7ru8SJ8x2IQBf6QVrLFZpbBk6kB6MOxJfNg2SoRlEAs3bqgtMHdIbJo3xWrAk
MJvAL8zQTc41GbBL3js5REloDswoM90ynMtebBkQh1A50Li248CUYhkQriVtcxEk0VwTtQfhdVDd
lbVakbo1/opacHNU4MlZg4NFBHRrT7NFQ9y7HCcQ2xtdD+FYUFtJXCxLSK1LJbfcqW59Kq77XKyA
xbj3hbbQUvWn5orsInHSi9yTq8LT/RWWzZ9R6VpC8+5jwj5CNqc1wSfwoCaAZvdYuV+grHhFRQbT
lfOFStiQ2qPYBC7agbi9BgLZA3/eB7IWcgi1VRTZLuEmL3LqAVNYkItQRVc5EBMmD1wIqvQNpG2v
yz75VsKHNmWZWn3aNJCJys5jHnIrhuwhg4Qu6noTdo/npuwTSH6Q4CPPKGSAeHfeO9qfovBuYQJ0
LK8MVpWbQJDNVT+TnWemImnNDCgHK2jSJcx+X8LOXYSpllqMglvodpAycDPvQUGphtVlmNkJ7haG
BtGOK6GAA7InSaYTuymBwPaL4lPmeDoEgt8q8NyXRmjImePmoekySPlw/E1rlW9Bte51HoFj3Pt+
YtU8/yAKoa01GS0hsL+NgByXNSRj9RoKD8rsf9k7s+66bWwJ/yJmcQCnx8vhjDo6mizbeuGyJRkE
QRIgAZAgf/0tOu3ESbqzVt7z1mlHka1jAntXfVWEh097nlmXLi9Lv54SSt7iUAVlMzVpDtn3Mxnl
KaTkxbrr/ZA4T9PofZ4lNAhQRt/ijiw7MfO0lKq57eLlwJVNs5F4Km/M/G6TVGSOF9K8lnTX+OZ1
qcc5C8JgF0/8FdoRfr0Z5bjzWaS+TgAqbmwY1i3MHEv3Gj0oLZTZhezx548O3eLZPqtCZtJ86sYF
m0cSO2OGOwOflB/3aTlU+GK+/cRhPHGMIbrgwL12KY7kBVqQQ/Ne1vVhmdzriofhfkmaGONSMt9L
okIM7f4pCJogJzTNggFfszLpXBtKgyy2roCkP8040oeAZ9xb3JIEzB672AmzcBDslCR23cdTOJeC
MZ0tNdZwd5p2s+5eE5deh4mKDIfUJTAD3MA0vV9UTAvVNrdDhKXB9z7OSbg8jpDaP/deE2T+ABE7
8GzhVaMsE4gc2RgFvMTokk0ErIDtZZAFHp5ZSJL4e+OnDqxBd828GZhTR0hpKcCm2Fku3J9g4PV+
ZoCmZKaFfuIz9XU0zt4LpA/1ajz2kQkyoBAnB5LgyaNtUghIJhlsqfHFjweShX0yl5guo4ywQWd9
HbcF60a5A9DT5ate3dfB8z/BDq12KYTKch7nZN+vEOY4b8O96LTIlNO4+4kPIvP87fOtoi5bSXUe
0noP0+6W4YnK5xUaUTre1zP+1K4T7jwqzjD+9qyrdCnSFirLOl7QF57kto4x/yUGn9Da5lLxHeSk
Zdf13X0dMsy0GIFzkYTnhBoY1tLds5B/dqdxbxz1uPJpgn44dnDrxhKOwUWZke4W09U5i8d9JeUB
69g3GsDrD3F5FNKBhuLxNvMvie2eOtW0N2k93fX4iWZQ6tKyE+GY0cE9hI3+uET9bibybKrk3cIQ
zlrRnTSfbUk9iIURefx+Mf47IWyNOf97QoDTrv/LiLB90W8jwlZYCiYWaaTtTfZR9NOIACgSLGyM
wtNfxf3fRoStHhNvhwHpgxqAKMb/+H1EQLgJ7A8gyjAMoF+m5J9I+wHoyp8H8m1E2LZqwJeAspF9
3H5/Pw/kk7QKyEMdXJXF8rja6ThDWyhwFgR48oedCLBkj3r5GPtrUChKXscgudEp9KFwczUbW5G9
HuuznoWb9W5/waM2ZskKBdCq6daOkSpIOopcCPN1SfvPNaMlrPYHDv2lX/QJHsfDICU27GExWSp9
lY2ef9N3gAaoE39QPBV5m3YafmP1YRXNxxAwRQZX2uaR7a4hDa7eHJXpIE4x1BcersFxnaoxN9xP
8gmrHsDL0k/kNyLrBzPT8NTTag+362uCIzdV67NVHaRvqJcZvAaeRaTri0BWuWuFyWNZP8+eeeF2
InnN64NvRJ9JFeMuqEHA6En3OZPBLe+GU8sxU83j+G2Yai+zjtD52ibX7cTKZzpcm3CSJ9thMDKs
okXcCRzt9Ujz1KXVrYqEWwBKWaNsIOu3xJ/47UTi15Xhhyurrr73YUFmtRrfa+2ml0a0xzB1YAH6
ctnXvUquitmujOMZn5qpSTZSTDq8szOwBBgqU+NFezZZmkUjHFwCQffepYG3X2VDodkzXIZ9QDMA
RyJjXUBLiObY3QPblg5j/r6pN5RwBRgXWRjXrhDwvyuv8OzigjNTbEdcWe3IHLTl2Gl/r0XQlX3Q
3Hj9cF51c+W9d9QLXXGKJ9+qFbRUg5u9dBQLigXzZelV8bLnhral29RYhYkHQXIcIOQ1EbwXO5p9
6sM+7ugINhDgxUM/x8neyLAuUaXTHFy3qoppaoNMBYFz3yILmHUr/qSDjaKMRW60S6ij82aZk2wR
2Jcc4By4Ljg7hUrNe+rXT4uv7oxx+7J2kiUTWn4VrQKcUEdAiIaUnGSqgox6GwK7bj8i5mNfVmHz
oQe7kimoNofFgPf1cSFC9ey9a5jA/qjlWsHDhUQdjI45JDOM2XomMwgbw954x+LMbeKqnGjnHFzd
7EzYllXVpwDfAK51aT9moJ26LCGNyZxmhlQhuzaPpia6Xz1731jzEM0dLzEieyxv/fYW9BsGTD58
0/36VePy3mnpmaxN2/HCYHbngYVZNA7RMVrm6iZy4mmfVD158B3zzFKhncLVxlb72reelzEjX2f8
ruLV4XADmzZTST3sHbY8ec7s7WxN4eRM6anv/Kic58XL0skc0YG2ZBK8JGAvWrK+d04OcQ8sCD5M
qtG5ovVTNzSnuOnv5ljljhNfVPhSxf7ZiGj6tPD2fY70jSWOk/UjnIJkNvONAel0SFMoYmzEEEa5
e+Pju9WyPk8T+TYADMq9tb24s+tlUxo/rwm4TtasSaZV96ZiwJ5gwY6iWe7Bz9+YkAFErKeg6LtE
7DnzAL9MdVjYRdhsYnEMVrs79sqXeayCcLcs+Ai9obsahz62tnpxhfksCY6HxJVTEfPxzGbvi+VR
VCoegCNUgu484+09FgCGJWM5NcrP4tXrslZNF0wxH00UukXskLvUxkkmurg/JmGIf1O7TWZ4O+VS
i7Np3AMYAszepNo1rhiuLNXwGcGJZY5NC23xcsIK7mQ4sQIYX/SZV6YLS9HbS+/rV0HiY2/CT0AH
wiPrYHSM61cAj8D6hD3gD93uah8oYuetRRvFt3WDUyYVTuaPc85TR2SwzA7OEEGYG4rGZ1BN2XwP
gP+m9VUAKav9qpMU0ldw61G5d8iwp8D58JnmtvXwz+GXOmEsV8x8Uyy+Ax+sy0ksR92RujRxmzuE
3wPBcnAXmLwNlnOt2/sOU6fH6qcWTHkd9YfYwCoxHXtqmc7Bv4xZX6k465b1UAExZW2euFC3Vern
ge++V6ZfMtxjzrJXia+SO9bxNqdR/+Bi9C//nY2+ww/bi7//92x0eR9f39/+qp98f134l/8ERlBp
tb0IL4TrhFb/GP/B3/QTNAYDZgfnnEILwYT023CEmFEUYAnGaxG3EiVsbb8PR3glJgGnAMkjQLj7
Hw5HmM7+PBwhlhL52OdAU/ggNP4kEAaOPwM24/zquUSPp1Qz6eZs6ojzEdZ1PJddNHYL8LRmuPdi
XhggBlD8DvZ4dCtMN73A0Q4gUCfPgOpAHbPpyQvIeHZtK+pPFW1sFmmsxAuYiBwwz3XhvCnCBsOO
9EMYDnP3IPhytU47ZWgC/IIHJ8zDkZ+lu96BtoJwXo3PFn69DMW6M4l9Xt35LZLxgwwE/gPBKg/U
hrvJJOJAVHqvafNtEqNfdk0XZdpzo1LOmn+oaHfnkACHs7vAHrXeNRHV/dw1ENWB6x5ohHvLjslh
irC7dXw+VJH/mUiYmLNYDI4wLEJCDFOZwvs8ALCG2Q5qIA9FFZXdUH8yfNBFH0qOeazi2SpdbxfA
6MyMEzgQkiJdH2pVURegFt6QmPlYIqElOe2hrl1ZYl4M98rz2jMkLfoAytZ+jKaRZiLu1kxZFl5Z
4vs59Zh3uyzkNFji39W9AP6pFvhbA5T6EfbirhYg3bKpw7f2m+RjBTj00PvBWkAvgPE1eRZsKa/U
qfHG/r4CV3tO5EjAPaaLovg99AM7kdiJvGPKlcN3/swhb8Xc++oNASmMcbJ4aJpLPZkMK1hTaI5V
Dwt2Rui6c8PunmDRnMEr4kYJRv7eCvNxUPxGuC4tunjet5rzHB0VlzF1LgpOf1Z3rAhl+2Dr/iT9
8bPv8JtmBrEx+N1TQOu51HXySuRw59P4tu+s0dCJYn4XNgvzSwhVAUSTsG7WC9pC+8zlc8llE+UB
maojX+qj6SowJBVmWxv5Sdmt9HUFaZtVGPIymWLYF5hi4cv0dQ6d8DXEYZmFcGJy62tVBLUtjacx
0i4fKFIJxaL7sGDT1OTLAtEA0t+txmBSJG4oDhAjWeYmtLQM/yZUmaz20jJeQAtyN+yzNkw5MGwy
7ZeaTYVr3ds4nOHUjCEGLgnowHX1OWJ2ynXY+iVrlZO5nf8SWQ9DySIe59iyLF3mNK963AUDB07E
NvnNJWmm4vi9q+hbK5I2x9OV62aB2+s0d4iCQJmb/NJzTZxjZAHv7Y1N1os53SX4q+96hBa9O2qo
maGmLHOoWGcMFLHgp15p8fTv/YH7Y0vy/9398X8tUMC3L3++QH79sp+2a4KsHxA4+LUE5u1PFwi0
+RgusRvgRsd9gV/6TxgRF8j2GQNnI1sT3x8E+PgX1IIECTZ27OUkxWX1DwR4sLJ/vkC2RR0PCxo6
UY2fbgbBz9t1YumQGpA+14ZpeUralFzG3p6Tvh2gso/PUdcVA2iyQy/idn2vhRqce7Ms2DBWloPN
b+/TWvaZ5gsObnIS2FN3Q6swb67w5HHiOHvWAk/AZrujfALlNsCTpLIiGXxXWufpNIA5imVrHhcq
P6f1Ao0UHkQWA59vcmzb5DRZZz2Fsrd1lS/Jwk6m5cXiV85BO+M3mvYr8nxutV88gWSRx1OM8nR6
luiOPkNK5Zck6BGcYY/SBDVUww6sh/QSBn/TwRA7pUBiAqgHbcv8zI/AN4xeeubxqMuBenmofb0L
rbxNQujnUyDS3dSuNnMqDR6/7ufDOKtbT6k01/3weZzpzeLNZe0uha/8i0voeV41wLdGGmiwOOqb
JMlno0zZ4xPOaOVoLJCafqtmEb0sawOcZQgHaJJIluVJrbxDOpqHmgePSeP25iij2tH3DOf8IRxk
3oNnOQzhovrHCFv3mNWmiqcsiCF9BN48NVlYhd8wWc9Htgizh0XPi7Xr75ZG3UZEnnr4f4PrnxPt
7ISaT04XFWIFpwtV1m3WPGTybe79B6bTz/8eHt+Hzw3N+N/D5xkvQf3zyQFaF1/z4+TAq6IivPAN
oEcMu2KbFH8fPaG+pTgZMJn6aO7bptIfJ0eIRt4E4bvtjSWYV38ePckvW3Y5cXEpo1sKVRX/5OT4
nuX7HUSBLJdG6BrDG65AFcYevMU/HhyxJ6kLGl/fxthPMz4BTgVABg4TkngKyT/5gkFp3g2b5uHh
bzRxEKlNzJIWMby0z8xHkhHZNGGGI8GrFjsYJA1uT+mEJr6TZBznu36WtzLg7MkZZz/N6mCNd41a
1X3S1s1LABj3HmEDupdu5XslTWdRLbgFW1b4ZIWCMChFiwEA7BbEc7omKD2k3tRnUO8NZl3brr5d
i8BEiqmd31vmnbpuXsUjXReOY2uoGr/Ugo77FLgVIsU93SMVHRWjmJs92P+hnIfKg2wfeQg7IFfm
8mh8XqfaeAeeLtFaBsosFCdVutqyNUE0XGRcOWsJdNRRR1eu0cUsqhaF9EX0yKJou8dj2ZQRsg9A
pGquH3nQjmmJp7S9Wj+q/f0Q458R9hKf1pkg7SgHypsxs7WIj0MLQ/Xf/fBXOH4DDf/3I7p1IRXs
nYq/PqffSxT/syJ60S/u9oKgbU10EWz+aUXEIxymwLECoO/JBsf//pwGv+ARggeHQhnUAn1/un9Y
7FvdAIFHgxFgI+PDf4TGYzn70w2PV0IjlJvgrcAoDgQ8vf36TzQNa5pa1YhjXqCyw72ByIboWA71
hp86hsgPtKdpjTcP1JW+Leoe8LMRVUHrnt4Epom/8LrPA0SaqDu8NHHreXezpySEzmmRaCWY+vQK
f3g90cC07DjoxX+Clu+ER0+5I4JsqaOvXRVUJ75Eri6hXzfeI4vTlpxXurbqNe1pNF/GQIINgVK4
n6K+fa+mgRWiZ6bNDdKLzd5tEm+XDgmbHvSw6COBgONkKyK1a1m5i3lZCSBz7DW1e/ZNWp3HYYBr
2/dzXdY2HfJxwH1u3IWdQ41Ud1XBAgDxXqV4nXNfp0A9qxluJQFKxfva3NVI14Fze4k5fW2guJfI
ZXe5jMJ3qbv3CKC2xo42kDdglZBv+twfKPJmqxvuNHfMyxwBEpt8F+rRzEFvJikoPc108tFzmCxS
PlevlkXTQQW9f6ydqr5xIPEfuDfGCKobe1ylHPYkhDk9TqvGTtvbPEwkCC90Q0OyrC74cGURIVuH
YaoqEt2dEwM3IqzG+LKE4XrkBAkBhAPajMBKjNnQQXH3eRbA6UXG1MB1Bd0tk/Q9IbWzT6b1ADn6
GjQs2i/VrDNHddAsqxHzGrGfSE1A0c4IHIHs2ANVt7CgbK7hY9/ywOoc+JzN0za0xYiKnbIBqnl1
KeePzhwGDwgi9O+NS8ZTNzBERCeCtgE2vPXL1PzKTv3r+G2kzt+eWls3OF7I8pfNJES3ye/zBV4q
6+PgilHQj2Phu4P3m7SFlzK46EqAo40z47t+9WO+wPqRoC0Y72vA+2h/Vb1+nFuou4Os5aMny/3O
eSX/ZL4g3h+ZU5yOsOfj1MXShBcI/Nop//O5hTi7BwM6FFdk3CCDaIuDal6W0tq+2ywL7zhXfAe9
9dh3vS8zLP2fuzQ+dRPbIfK7xzt8b2NMF8gfXpFQLF0CIazFDnzTslhg3xmfF5d8QmWCWyQKG02C
IRxU+VM0VtfG1WCOOeWYJ5r43tJg3fJ3jXTLFmSpKJJt1few86/b8p9uMgBS6C2o/aSHyahhk0Mt
WDfZwKNL4UFHWCuBdX+TFswmMjhQG+wmOyyYjkA/qxCBDIgS0+R+AFlexM1SzptsoVPC8+i7lAFN
I9rEDbnJHMMmeJipFUjJbCJI37wigZyUyyaQwKjnWQvNZO1JdWw3GcVFY4DoHXfviqA9h6Ez3yBd
jEQQdCbIJc0HnA08cxBtz0faXAX8p02ZyeaV7HRk0EQ1RHnLhw9RTK9y8ACuBDPiCmzYBUNlsgpV
JUXvtLARiTvkSEYtGR/MBc6pzPki2t06OXuc8aew95+7ZnpImwq/77kJMwQTDnEwNChrYW+TF1xo
v96ufjflBsUpmWlGAFFOXhnsd5zJG1MnmHtcP80pN7mz4uARm2SnBBARiVglYg7RsdHRPa8AHwWz
mgt/peVAumQ3O+J18EGF+6669YO5JIOzF25303Xs6rXmHATrmHdEnQd0VeCbqruBRTpLOH407gQp
kYDTUT3NVWP2wxBc4rAGXwHbIR+mBo0AXl9w6ewRkr3jVqjLiks3C0cGxzeJHrCPX1LZinJcJpuT
jsQIo4OVCgSi4S3Rqmy4GwNCrkpF1ZNNbb2bmv5CSfWyDNOya50EKfEgKkLtPpMBt3IwxIXXNsUy
YDxNGL2ns3fj2a5Ad8XtoNK3MZpl0U0KP0MVHekAAxChqxtt1JV93+nF9/0eLQb8EGPnT7l85uCp
8mmdzoqt5NIbLk8N9j/B3Qcdjm+JXHClwmfGnkj7qJDYG1PsjyP2SIF9kglxstgvMZHfobiAF4Oq
zb7dltAI2+gaOQaW+hyAdvm+rZJ+Wh/9aL3QYcTs27J5RxFfy+YgwvclCPCO+zleVbnE9WFeg7sx
/KwcjwKOSj/0KRCShp5Hfws16PA41/A+5XpnVv9QTQyKWWjucdhl46wL3w8lfCBIY9VQ3QVKgxQM
4K8n+iwMewD9mFcLfVwlGJ1oBABUQ4rIfMSs8HHF/T6lXrAbUYmwC3i0bymjh6F1cCz5dYI8XIsy
AYO/Ob2EoNp7/mbudneJdT7FpP8mRvcNNBtHHUv7DIzuJvR4kNlBkiLc+Dx3RL4mbuTXxDjVTcoR
CLSImy2ue9eJDg9DPHhXuNfv2IdsiZDgu1EoG+gi+xDMizwG/fTiiW43EPfTwuJL0iITAOi+6Cye
l4QosreGfuxtanCT9zuZLPupEoUrx7uUQbyOmt2q5JSHQ3XbxFtkJOIH0S/pCUPdh8RUBb7zlAcp
efLgnuzrUKhiHTxZStvYcnD8i8VjcAfi8AGaxMG2hOV9O3WodYG8stFTDNRGFsa6wJ+VQTxSJEcx
x5d6kDzXi4bp0CLknAhoO68MVgEiWg8cPxPcA17uU+jiuk3u4N7vwOzjU5w4AX0AQ3NaZ0xbU7Ov
hyGG5Nki6KidN5CjZZLwoQhDempDCp8QM1Bk2HQmjteX+ECXQ+jbB4tYk9dJJM4E8wqTwLi1YOyR
laFHK2xeOQVPgnONeT83bfziqpUdcRwj60JAgxC7c+rh0WfVPlqXMad1ZCAgexjWqHpFoRPLHRXs
MRqt2TQMF6rARPm+fDShvSGuanInGCDPQLbm8nYWsj1Kb75SbR/cRZQI2i87CAZnMaQHB1b2U70u
Zjcb/52nwNQhGt93ddyUa7sGv2L5/85TG5H+d/PU6widt9f/bQ3EV/6QazBOQYxB+PgHNf2TXOP9
ksCkC3/8yk9yTYKuya2MzkdHCl5EufHPP8apBIV0GHtiOI/g9TCM/ZNxCm8y/dMaCIwqwbIJ980l
BOfbn0jroJl6tQo7Xy0w6ZwYJnfBVDelBKXcxVbvYBMBF7EhmT6jeOksQa7uI4xoWIuwwOA4VEXV
J94DpVHpJGEH77qPt7kEDSl6/RJW/orQqwYAMagybtDTIdvqMTBOdEFWrIZjEQw7aafhFiGBsqH1
s4YlNLtomsHUcsKzfCKj943b5Xmuu1NMOMjdsYg9/5CyusnSBtU+AH5k0bQ49NcFoU3rEpWjFANg
dBi9NzH5gHaSFz457/NUD0VcLV1u58Viiuvehg7ZGu46t9qdTAHjbMlmnH8gLqKvS014ASnOQ2PD
hK3O4NQzi3iuO3HvR7REHRI2ywWNIYPRUwlJyNALZcdIBg+Dii5BW72vLQqJ+rvIQ+0BLLPbfqum
sM3HboC15FevdR8+TWFVQ1D9tqB3DUk8/x5NUpg8zeoCp1EfMHP52WI0opxt3aJZqbUY84KhGKPl
saM6LHQ8k4NK3CYP2nosoQXH2SrImnc4ZHJVNWnp6A1o0/TAa4L+DCfYw+5rHkKv9QuLsqOsWUiD
0qtwKkLhBJdx4Ax0+DzlPPHkaXXGB6Es9kVHuHtj1RG6JUNKF9gwMU14MBXYuuce5Bu9+GrtPjYq
RJ687WCK5u205jaI5myybC6RVfuGHr2DradrrUeeB53S8UVXKHh5GdFj89a1InaK1GvTAyNetQtV
5F1jl9lcranJqb/ggiKzuHSrzz4kc/I8amYPQZS+cHBkOWA1dp1RhFM40oCbXpKntJ+PQRdi0qww
bqA65zB63gfHgAEz7hyUtlr7/YRymIeOdEMWK7+/qj4tBhc/S+S5LhYWBPJTLM7ByIALH1p7hxIf
VaIlQz7RYfqqgN+fY+DDOeJW79LDyrsS0M8s9W4duNI6c3Ead07o5XGqzWFESv3gj1H7OERDe51E
3D9xf9EIW7EaaIx8EokutI6gZxgs+ph7DjaC7W4qp0EjnhGZFst11mmFC2K0ecdFWobMn88aVS67
BbzwSS/uF1vJfKjn52QhMg96F1wYAt4FJemCnYk4R8dJ5xcA4TMqkoaqYInu91YK/sqDUB1aMwOV
H5ITn2vQNatOEC3HclOMq6wyLJLjVs5V3dQ0SC7JtAAHjNMsbZ0ljwUkjaabRvTiJLbQPpLPTrJi
TvY4Es8o+/pXlfyPKvm3ruOmSl6+6Pf/dh3hC3+7joDuwgeIAOcSdJpufO5P2z3eag+/ERTK91DQ
76pk/MvWqIka1BDv60POGl/14zqKf/Gg80Pj9IDoRu4/K+z462WE+k68Uh3vkoMG6rt/ch2VmQ2C
lct8dcXdSEm5NHHx0yX9X5K4+J3+HOMLYcGgJBQqwnbtguf403UXzTEPTGzMVZHmxOJnx72m4b0i
B6+6m6db5f36txGNMaiy/S/fb7NP/v47br+jn3RW3yYjw2EDJ1WCrkhQl4PRUwm/wyMo1P08iuQ0
6VDeRjysUISwixoYCENlq7DUaAzEldhHLxjR/WO0rQHLthB4SiDMkNQ3IXaFflsaJLaHyeHfUmwT
PbYKsa0XscCJ3tARK8e2fATbGjJuC0m3rSYEO4ralhW8USTYUcnEvlosiOBtqYm39Qaa5Yg7ikGk
S3KJDSiZpnO6rUQxQ88EdiQoAtirqgSyA/YnsmAfieb7qmrRwOgEB9R/3E3YuPwkOvauYcic0LPA
TmYC58O4LWlT/zJhZ7PY3aZtifO02iMOvCcyOdXbmldHYkZkAqsf+r0uwsTrY/zdyxy/+5piszgj
eJ3NZnoO3/3PVRL8H6Ybrbi2lNxo19vAkhXYsNJr0Zlg+Mrd5CaCuuyQ7kbG7Gg5lOa0unVcfrus
0UfcPECZcSxmELd2o89eQVm9tY4IyzkkFyvJCS1excTlja6Q8zDLcQnYnYuqkr4aCmaXGwwYN1gQ
RKFX1HTQcD6ryf04GL8kRGA97dcPYQugueoWfstMf9dzvTcJBNOVn1xgWgjsInrCNbJAg4V+pCYc
mQRdIKqJP0BPH8F9uHTnd9IcjZk1lmgfLhgblpsWlbc7IILntntLnflK6uQBUQ0v86D5o2Rz3Hmy
O1UtuzO98zhP/a528LEI0NIJQwqm029xDS3Zi5p7n85lajo46NYrQA0UBMCpNqJGuBk33Uz28zjt
XAjAOkpAXLqFEOIRAtNdVw1DPoOmx1rGpwe71A9R5R1HMMMoPPxEeJ/bOByfpOsEOZS3b30AOrpK
9wHmr3WtMGy4JPf49O7OCN6ZqABT3eQ4wY4I7YMAClgZOXPmVfQOetuFIK2NLre9dcOyjVG2Y6uz
UuIwhlOmVo1EinMLuqPwZ+eIgwKpJqqzirkKYDKc9TR4JqPKfTwh+cBB0/Rhi6wWiOHj2GLeYNRA
H3dOXK1PSs6YXVt9y0aBejG3aJoJf60xaGEp9L+kpvnSxMlFDC3QpAZFbLMal6xSM2aTakoO34+1
f5ew8G+tuM8Qa//qwm1f89t9hxcVIkC66cQe3ie8vQ/8p/sOCw/ctu1d8TH+5+/3HaqrfNwNqFRI
wN2jwur3+w7vlodTGiWIVeKu2jazf8DZ4Jj7w+2AewgBlgiuHsKuKIdATdUfbwc82oiS+o29Sg1S
WGLaAxb5pH04cs02CK5eL57Y5LVXH8Wmj2obGB3XMwezVl7uYZqk6TZXDiS4hdPnlui0REdc3EAF
ikCYbQNpjckUdaEYJrdhlW9jK5oiZN51WNRSU4kngul23MZc1C4WE6vFtaPDkM3bMOxRCFsG3EBJ
J4zK4Bg/oNyzPbRtYPYNEpgyNEe4RhiAMWjbbeSOtuG73cZwDCAvjhvNhxQTer+N6sM2tNfb+K63
Qd7ZrCsPP4Ir85IKM6JOD4MQ4ZXOPiBPNIUeZhmnRUsDlF/12wxM408CT9/W3dFmG7BtBqQuUufz
HALx18i9pAI1pmEtT64hJY+pW/p0OqF47jyJ5Bk/zYsQlUTvjtCZiEyX9bx+CSfyxUbwrcT/s3de
y3FjaZd9InTAm1sAiXQkM2lEoxuESJHw3hwAT/8vsH5VUawqddRMX8xE9EVHdHSLBNPg4DN7ry2q
BwyjD61R5ps6jniSRcltr3e5q+WS6WolY0Azoo9axmYnmcUrIsYcf6F5MHlOuNhlcQMZaRr0khEF
cSiwFxnLEx90Ch61vq2k8ErP52d7AUwV5jWvRPsezt1Z6srxIrPt1TVK59cI+0qDzugu4XJlVHyk
fT35zSzOWaE9q1r7sIjsBapg61ZxfMjy6WSCjYfMwgJSiTjVJKHu19xeIFRT54vIwclh955a6Duz
My+qqWAsaWmhayjxUx0t1xitjmkDq1iaIJcynQUHEzLeMm3cCCdtllPtmXGHMe+tvss2ULGO7Csw
RrdKG/m50XZubBmvErbCZLB1WNRzgPy2ccPVYy2P+WFcXdfW6r9WMWIjjIMHgtISrabCcM2wk+1s
ZBu7UWy8j4t60xrG6I12y4Q1yhjP1zpu0WTeJAXz9ip1Amj4KXCzhTc56cK9NAPcjIxMYdtgW57M
N1WL6pu8LFmhJABDbadjg1PId2Ucdm6oU/phKsCrmgqMpmbhq6Gga0Noqs3h6zyru4SxBuYs467t
w69qWfYeRaQHc+4KK2y+F8wY3EIM8CpBHcKA1k9Wj1iNwq/3aOTMYGr12xHKpBf2xoWcALxxmJp6
ODUPbT4kB2XG5K3nyh5rLJ9S72AXeOwgCUsiCgTTXFxJybZvcIl4TtFStMHwiIBN2U3+HOdGYFc1
tzq3SV1bgJ+K4msdd4fJEvU+kyzbzxNFOUGC0vwQqMNNmjTRodRt+kg7vBob3BCpY27UGUhjzlDG
1Vj9sLeZrmelY0LO9PXQzNhOBlUNd3LT6xu7q/TtHIWOL0tNt6+b8hjFsoX8ZNAOnRkthyZF4qdX
jbypmpr4AqcNlmw+ULA81lKhndWUZp7TL9tLie5gT6sPkia8aII5a6b1U4MF/a0rWTnE3MbXVpq+
LunCHKR0tL51//v8/E1txvr074eYu6HA/PW9//MzdF27/v4M1UjHMKmHVoS7gSL1wzOU4AwMnwZE
SY2Z5Aezg06ImUmriJdafpe/8FD+354Rk6gs037wOPrRTv6DZyi/50NHx9ObISmOilXchiYSDvCn
J+iAgQdouDgP8iFiKDIzpdp+eFP+oomDjPHTRXgV1AlIZBz0pQxzeb0/X0SRWi1Ns64+a8JJOVh1
o8NtGWtqCTdIbpvRbypzyq6XKjHtq5Vh/9hGlppdIxmfvZgVq3pQzdrrgBg3MYjUMN+YFK9Loszu
wEx+nvNzCDI+ryTQ9gzxm+q2lxHTzLGyWRrrZkq6HQpR1PgFBOakV3xDbw6gVE+SnT3nc/ZNwjs4
1PUeD9UjsgnFW5KYDQHjKTXfW3HXuMrUvrWDxcYsESAWdQstG6NLqVDYmxhi14ysWaCRfbHsXaN1
OI7Kx8iU96Bv4WYwA2ym8jVncOeGE3uVuXgNa7mCWFfzHJUnHI9dGyDYhUBmCR8jPE5cwT6ltuTn
qSsPmi4VvqKXd6MS0T2pX9qJB6ea9A9ZMXdePIuXztQPs96WQZPWl2U8Cd9pLM03ktDwwqq9Jf2J
x4de9RuojZdFVLZe32nXuXAibxmHRynVggUB/YbHHk5DtX9LrQYTVYIRwWqqc1npR0u0+oYWkaVq
1qQ7k7QLdsPY26Z0KDdJjWhAGTkc9Xp5UGCJaHycbjVIN4aQSrdQ8ztROAgL7OxJatC/qByzjtKn
V3kvFC+WskOHjge5PRAAFvwXUf+ipVXgDKaHsEr19KnpkMKUD+GCLzdsbFTGkXJo7aH1+9HaLpbx
UicYX8XcHtlzv9jrls5Okze7YL8W6eQLNL1DwWW+6YkAn528Jg34E6VLd7EKFlGZbK/CFjOq3bOS
pvA69V5ytazc5wlIdn3sg8SGXT8w/vfoiVl1S7LjGeVwHhzpC9xLTIx5v481ZsmKHt9ii2j8yooG
mlttkyPDZC5tbZaKz8+x01sVmggibvyGzviQyQtm1dl8S1PnK0vMdy+RFmg4U5BGx9llWeSswNKE
UaQhf4ngJ5e6UR+QMZ+i3AJAWcErVabp65jmfHtEM2xswfthWctTZoZ35oiVkM33q459Ohhb+UsW
5V+6BGLDJK3q7ai/hDXx1kv2Ex5YnfIg9ixN6Rofl4iz4P80KySc2pzta8qQfCP0tgl3687DWRyl
uTMisbjYD/mWO3n2JSMlZW8wtD+bmrhrGnUnLfVr0ZX7JKshtVb1d+xW7PItLOJDbydBJvrjgGfn
Qdd7DIhh7nXmPeCNCVfInF4UFUR6Sbpph9QhMSLN0bSFBaOCUdhHyZoqn/SFyutyAw0E398IjMxU
aZcUHIVntQBisJnW3JsuuvWrrrIeY9t4TWTSgBDrNq6+KEGB4mKMQZHZ+reVjYoa7VAYw1M0MBTi
zLlpS2WT1spNpWh7oUg32EF9U4ru1cx86uDqVIp8dER0Ro54hpJ/uXR9sAwZiO75+zASLcBG0c+6
PtvgcvSyBiNo1+JFsY2grccry0LJ0EB+0JbFZ5Qj3MpBXpvaEqMh6TT37X2RONmGmcVr18eB2kwP
UvdqDHwTR9MKNB17NRYYwf7ECQWclnSYJWmD0sK6t6JxQmLRql4aoQBC/NbXCM20x6LSpVuAsZAg
SxIZ8pRzy80qvQaPayzalsqs9eyc7bKtFfdZ0wVtLx6FyO9xMDzJRatdy4OxnHngNUGbN98aVdnH
rfZ9Cu1Ts8xXTu7goinshFUsIQdJA3xOSpmisct37tCRzJdREd8mUfScqq20SvzyY7vM1qYu4EKG
DN89vY+fSpVPUcR3SVKlvqNJh2HsHgdYMre2pBVBKOHZrvn7MO7y7IFLzxkwSLnpd0O9nKQeyIyZ
asB1Z0eweKqMkru8wxPWDWx5LBJOysH2m5ypnDmOu1HpxTZUwRloRTVvRSmzYMhrZ0UdsXzO2SyI
3FF2XTbC0O9vOj32GlPZIsUbXTqWF1bzKdoQ5Q6/3mOrTLeR0Zp7Rx8eKxTWqz8svPr1Y/dnD8r7
Q5eW3V6fuLTGhvzpyW7mQw2NuRnOFXAU1j+pfWfyVxvYelP94dfX+rmKWK9FtBcLRgWhrIXubZ3i
fpjSMiSaehU10NkON2F238zMw+7/7y6x/gkfLkGCUJ6LIRfnmhtzliw3Hr/q9e3/wUXwl5IxwDCe
fe7PF+niLJvSUoiz1t411cUkXUnj/teX+PPHwlv14RKfwBsM/uxI0Sdx1u3bogmWoseHeSqtb+n8
b660DuP/8BL874fy4UrrX/LhHcvj0SjMnhdD8+EqpenF6mEA6zVuxuKw4J389Qv7eRbz2+VAJ2Gj
wnqFPvvTbgB/6bS0vSLwcj8qaE0s8y6Kj3Px+H6Z/87q1tXH3/cav0UIt+W39ntS/sXUbv3pHx3H
e1SfgqLUQV/1LnX/fWqHdt6WmaPpjOyQLchU4j80qAb/D2M0IDPW6n756HHR/oUCA/4qqlbub9ZY
/2Rqp6g/twOGzEEB8p1mgG2ZTEbapz2VA328dhQtvpJgNPjGyC1gIzzYm+PcfB1bMmXcvulbRGLc
5xZaxAVdRCiaLv0yp1m6cZjNyVclFHUfjHME+tm05PF6EnY1fxsUXVnR1hhHBgqafEwpSBuNDMLJ
h/PKMCWzlGbZM/Zso27bQ1iKb+2+X3lbPUbYUuJscFHQp3dFlY9fWPmnKgJNeb6NFRvzqor0P6gh
tC8k6XQ7xik1rtXBui+VURrcOe3H+7pwVracUS88rUrmfeiTmtIDM2eftWysnzSAF0+SUbNTofYl
u2jMQxb0SmS7OaUqxUJjE0EULgW8usQMGcqpe57IhVdo6XBJIFZxZZnleANpI96Q6KLqEKTKcYe4
zUDm0NiMWoqJQBb0k4ii2sHkjrQTw2LTk1s3EiqwBYpWkexy8MsvhUpsVxzpeN28WW6MVg3gVaes
p3VtyKq9PWr9lifWLHUsZ6TxqU9Y/2+yMRw3eqoMcblJnThczM2iom2s3VlQtzg7J7L5Z3PdRlsL
Pct11454jJyyu3ZwOAVpjlUL9oUOAQRbkqMxmTxX72alUopGeRMRulJ40buhKX43N9GLpE9Z3qko
OAf8iK65IvB5ICf5Tn6n40v2SspvMO9OYPYSXbyawo5enRW4j6c7DHJGtI2brFD+ToJNUkithf4s
6R7B/dXtad1beSbD0v+eXO9TktWB8/cn16n9Vkavf56RrD/1+4mFAB6GKb8NnOlvg5Afe4Y14psh
CUttE9DJ+8r9x4mlEZHBacQhB7IZVT0Vzo+9uvYvzTZN/sOvNd63E/9gRvJXbh/IEkBgOBQQ8Cuf
gw6p5OZEWHLIjlMBNrTkGdzC1QwjTY18LC1Wi660mmX0ND5gRX3iGb94tZW+aCOwbEwawtqZcV6M
m0aTUyxqTb2Z0iSNPO7f6j5qR8Di5OvCpCnjGRUtRhFCoWqt/aZDTn/tBzlEh1MaKxcO40pJj1OG
UxrEQ5I2rC0Annt5q49B0zKMPMxrFoVDKEX3Hk+BuBsYTLqmVkwwqiSYxtTfJFowGRjdmJALcCkz
5y2KMkljLJyvWRhEn0GhJh4jH5RTTVxGZ8iXyyKuFW25iInTCDXpArntXiFmY0pCDK0mpoJFIYOj
6lCDqdzYF7VubuVaOqdjk97UoX3s1wwPc03ziJxOuSg7WgpVEtlmNtPUbWspxe04nKa+O0kZYxER
6bI76wxyqgr7b8SYzc3NXqqhXMztW6b1t0ku3/LYKQyK8r48S022XGp6FiCeYjNvxo8VdGkLP09I
/NvlqOdQmCrIkh0jL7W2oo1aMZ5FuevMWnErmYYIanttSJtF9du22JbNmh6Sm8RhUdqERKD6qkKY
1RiJEFI4RCaEPkEP9wsGE6wBU3idzIZZc7AC1SrBqAkpk4sWjCZ5hfNQ6186h9CJGJEYimc7kJE7
uzmGTWJCWhgZVv1kgKtBUSY5CcN5Neq8bm7T7Ydb8S9mc58K99UNz3PdIPfVRIWCx+LnGhEst5Az
B6ymKsdIF4lO+wbIGxf1jFfrv+ffb9IimXf1788/D8hWi3eo6vpvfz4F15/9cQoidsWjCIfeUWik
GMZ+mBSr/wJawEn2BxjwxynI+QjEDzUOYG159Ur+cQoiPFI4NBEVoC96L+n+wSmorjjDDw3Fum0F
JUzMLJZGjE3vbOOPDYVTWOQQgDU/5WNCGCY2hUo+5JOiH0rwfAyPzYICLWKQMUkXNmQVPzXIPhCp
if9Rkl2GfHdT1B8ze7od5eliDhHy1zG3MzlZBJ4lCzmS/b0o5iur0PZGwrYwDyGd2N0J3syBdBHT
m4pmnywIZAo6fBECUA0tZ9q2mvamoUdAKLCa65Ns9gjVUjdtJqG9s/VgSFPb03O6X6eLn2aTTV+X
6/MGblbhy219p5vD4OqDxDgki8hfWGRvxqino0z02jJ8oL1Hf8cx3XYdE1XxTOHhpmFT+IZivTSp
lTB3SR5NMuuoR+EIM0UcGrBuJDM+mpG+ta168UKhBbGNf1Prip1qjgbhM/aumzCHzPrYEmg4Pc9V
+Fz0EzKuuOGY7p8S2UlwzmRb2lMCZKIyUCbRkrvM6smO6u+RrIMpU8rHmtUtMy0YZtBrXs1VPNxl
87ekNsIjfDOiYQ2UU2DaNtIqOlZhGfo6waJewhbfRZ/qbIXIjorRjE82CF9sEQR9k1ExstOzko0e
WlWQzxqToVV6SOyQzAYdOeKwChPnVaKYrWJFe5UthquAsV+ljG2XxWAECT+d5STclHKXHBO5yrd4
N3sCD8blHu9j7FcygYFAlEmqMQuLSXSWPVXtqCI1s8zHsSuKm65VmnMMxnpvK+10gVsLFdGcV+wH
mhYunq6nF6Eo6zXPEv1Qu+CNQD8UPk82i0ifXNlmX6ryNUpPZROz1PsiwwwatyGO/K9S6kRvup0P
m2IFSIieJSkLZY/8Cxy5KNAwQgCc6NrkqECggJLLuy7YNEcXHYQKeUVVSM1w1a7winDFWNCXYOVc
0RaYmTADQ7vQe7AXDZKm1FpBGBAxCEJFQr1CMsoVl2Gu4IxFzxRGiIxj4eoQofJO2EBKZv2G3DCz
y2rFcIBLHO8d4lT3ZpUjMVpxHZINuKOD4DGtKA/SNgnBAe7x32L2vZjVmGv8/WG+tuEBBe1L0r38
VRfOD/9+mmP3xAgKiQYcu/LeT/+oaVVtlX2iV1krVI5TjuwfpzmMGqLbOOb/+KkfNS3kCpjyGDj/
Q1pRnOu08sb6S1kl/vzgN4jHsNOwXU5L/9DYpNP/aHf+Vrv5p3kQv1WGi2ESnEyT/26d+DB+Qtps
1qScKqduktxWJv00cTvjO8PUDx/AX5Qw62zxpzHXp+usJc6H61QSwURtYignAzmd0l4I6/uvL/A+
9fvVFT4N0iKlKdWVBH9SJwsa9hfLeas42hzp5AzEb6qEr4xPNaKi5NxXIR6AVyYEUXRWq+u+vI1E
zTjjaBrRBrYmZqbrIb0VjKMn1Dm//kvXXfIv3wu+WB/fCy2BnSPa9b3QNswOAKo9DOQeVYp+Eqsp
FC9nMr9ZgGMb/qttJt6v/4D3ZIHPb5VCzcFmmmcOJeXPfwC4cKUfZWs+sUJNUFg5bX6R6arWw55f
VaWsf+HswOk5tDwmjUHcKLkwad8r8JgrlQfoeYyZbZDHoI/kg0Dn327z4lEttIMIZbw0qpQqXyat
SLda5qS2G9rQwdN005rtvh4Q5I8kzfazP/YwK5cTz+RNEelu1UjuYBIVOjnnQj0DoA3C4bFDJBl1
d11kX2p9TqqM6Y8Uvqpgb2kYnrXkDHRqos/uqrppfBNE7tLwlJ4Vb1CGC0smRbTezc1jl2JTkcB6
ivKo9Po1FLh0KrZjqVZfCiN3a052WOJ3vb4KQA0oD6xNjSTSffDmcOVtULhVlj/R1rhFQQvgGCGR
a8hvf/0Jaesn8Mcn9C6Z+3jj659uF5FQ7fdTt5zkrbYL98tF/6Bt7X176lzlot/Bc9jYvuPNgeYd
2gPsN396kvb4cLfy1rxMgvS3JNG/PSb+NA//dPt+0gboxClaxfqVrbJ9hTFc+KigmqCRf+s+/vY6
61f/j9fNePrTdT4deHZSLHkccx2W0Pnd9L2JvGTwSD5guPbrt3gVe/zpUh9vgs/zTf5xqzmJeoqR
5WJV9ocJ77dL7izy1uiEoO3XF/yrE5B+gaHqquSAjfLzTVeYxWRZJDWdBNE5kH5H6fzrC6y/4PN7
9/ECn947zGSMFiNVPZFFNhiZKySkGNm/eRX/7iKfTllncvB2AnI8OeNxaQ69eUdF9uvX8VePpI+v
49PxOPOsppk31BOQdTi0wpVN3PJXTjz99lr+00uKy7+Lx10v9HuK7v9TybermPcX5VGF5e8vutz1
pz7URSwRMJCQvMRkbt0zfKiLDAZt2DqpF3B98hX5URfZ/2KTqbPQtJQVXfGzpli2NLTElDMExMnm
P2L36e+zvE9fdsj8ukrpgkzZUj8dSCAD8jqTU/mkakYbB4YNtQAF8vDSptBOdRJg5SLMdjxpWakr
zn3YE4oRthgjMYI890V+axXCgYKg+kPfk+JXJ8+DJO+7sbnIJCZ+rQGOisU3KaAoSTJN+YriBrwo
C9Rj0TR70jsgrScnrZf2Rexc0sG5SktrgTwecsBMu2V19q5MMCQLUjg0PG7CBLQvLeeM5FYPfdIN
j9wnJ7EkmtnyGu6W4lbEl0kxsIQQ6rSL+zSIQvOI2ilP5q8iWtfCRkp/lcpui8KGYdqxIHF+k+Lr
m6sK4F6tn2KYBUhzQAxhuRnL4Wh34ffaIfuPm1WdzewaeQ4imzK8FKzp3UhFWNwaG7wUyrd2rlZz
qO0vXXufqPL3yCJWjSFn42FM/zJZ0vdhpfJU2BazzL6c8wjKGa8hlLPLZKm/dWnVBWOYJRsx9wS3
qY2xLY2QgGwa5dZm+lCHJ2xQX9l7wh2wyHmxm22vo6FxkGu7I6gjG5JrExKNpAIJWQNoB6HQ6S/O
fWo6wSAMFqTxVu7t0evs9LossFCM5USk5HIhsIhuRFg/JrGhER0KWaNxsvummy0o8v2jsYgjRl2i
AbrirbLbS3KYoos4izhi9Ngve6joHXxWpVd3XQhQsGuiOzVvmQdjYbet3jkIcyCE1Iy/l5F1G4Xz
lvzbiZCP4jCveR4Yf14nAj4Wgj7MtH/gf4MhidtdH23EyGsqSJz25/I9J2Qq7lApr+khjlX4Jn2G
H6/JIhYRI4XS7GhAt+bYxB41VhTwDy+VodnUFZJuOSOpZCSyBCb4NiXCRJ8V+AysW2rbOGKggclY
VezfCD4Z1gQUKLaBvmaiLGyE5thClr3mpWQEp6ABIkFlzVJRCVVRCVfJDJ2sQvwxGdZHPROHdM1h
idv5qoWmhBXm2C8GjCQ7seaXIarah7js1/0Una5rVqV1o9YoJ0HjtYV0LddOc8OsGsSVMiVBr8lB
JsUmM4nwLYum19BwZC8GilzKjXWwyum+M9vnPiO/qK6qaytytlKcXStQAWwSgD3cBn49sSjTrBE3
scw4w+ivFEKQeXH1prEspjdTuqv6Sd/EoS6walqLlzKfYOZU+H01BZo5f4Om6zfIsOzQ3sjO/IUP
mvScFIViIl3AltzGmbQvYZ6YyK2jNPcdKdyR20mubxmhf2aJpi8Hre4flKb1YwPknYp6cSxsptdJ
egF1CqxDRu7xZG0FfquiLvhA7numxPM0AIUW3lgMe5oCxgskE88kCceJ81ggxmSIEV+MrGH9pUmc
YCrMwV0yuAyNfKX1zkuHL0nuZ2+erBXB7PhaPV9iVN4LgGKo+OT2qArBZ2sgR6L16dqXoR1P6WT7
XarfyUmE7GhuL5bMIsHHKDd6xl0o2zFeLMUJcK/eGkP42pj4Apyx2PdsCr3OGncYJiaGKCxGteIc
ynBSYhKL0sSwXRhlXqwPl8Iqj6CvERNCb9cj+wkvhYt5ajcA+G/Jo3Cs4ZyY44Os1vsQeATrYmtD
yCrn31TiEzGrG21wei9Z2pMuoxKN0t06GYTTfRWaC9KPFa/cX4fqcECdCkIaB9TkzP6yqIFpthtN
UvYVKw6/q8qFU1gLHKM/yuUS2KWOCm6WaL3k5zzsVLdXh69aAm5YqIa2V6zorOCRr6PoWlnsC8ee
ma0tUoLQXxxkEo7xjMNCrqN0U0iJQ6yyQe5FPJ1xTwRZPp9Vx37T1CUoC5K7zX7TEb0VQPsiLBci
3NzX596yv0zJEHuFYQwMTA2Ec6maP2ZaOPtRPb6l3XCMJ/k+H0poPtVF7OAxQ293A9bFVzGSGdGM
J0+pr8gqRku6fMkUdXGNMbvnBN50pXHdSgxmI9l5ksz2YWqmIx1t7XZDYTE6tb1eiY8qY9R4Wr0o
0ZEIKY5xfd6HjQNZXAmbeTVRdNn9mLP68RWpVALymYVnT/Yml5O9arDWrUXBiK2Kv+ujNvjzWE0+
A8BvzrKclJaIUsqFyI9UoiegSLmh1rxZ/YjKv88uMZpzXGLIRA+ZPFSpeq4K9QbPHCb6Sgfr2L0Y
qA/wQsJfmU+dCRdO5fxqLRIySqP8Ms3SfT1VRAugwRWl5qP7VXCgihNkysXTFxuTHp6AfEiH67Yn
NtrIrXSnlzKebuhP2MkVWBD/JrtS/bmGXfs3MKP4exnpow3HffJzsY8uQNFndtkn5bZwHwG8nxsP
TI3nfLu76S6rQ7KpvH6XXBhb4cc74o4JVtuBJN++13X/6Qr3/79sSJmm4O8L3IDcjL+S36w/9aPA
ZWOtmczpKCA1i0KW2vf3Alf+F0Y6S/1Duv97gQvUknqY1c/7vvp9Jvhj8GfArTZR1eG5RmiHruef
yG+slWP7oZvjG7Tugxz25gBmHTIYKMA/DomyAhLh1IfWVTh1h6hvxvKyF9RuHpyBumavnAzL1hZd
5xVxEU33FRaS2a8cIu2OpJ09TVp3W8TN7McdmcSiH7YMwP1sYYGpyKXK1Jo9aeWkz8iTE/xeRrJB
NkIu72JcEX7VU+xJTxUJB0Q9PYiBuuO6J2vplhgejG5QRYh09HKp43hJpKsMPAoG3rEhVkiKnua6
j89hGCfmOc5n60xMXAeWXoSLhhIk7yvfCAu5vDMtSQtCygmx6SYl7BF1kN54P+hFN27yTDxkqhMT
bJVVOzAo6bzjiXYpUv0gBuOGKMKZrJLyXl7yu0EnraWK6xeVGYJrxgO7GSDd3PEbdnnPcZmSlSfp
V+agPpjTdD8g1vU0QRziKPlSoTPySwB363Wt+JweRASVlr7Kwh/UULO9wsy+qpFxm9nilKa14c9S
8p0R8V0x6K+yzrHSFbwpht1fW9pqXIL1shP8fleN6uzrrEUomkSykxdH+E1DIVzk9h3AWjWoygxq
Hm0EFlp1FyMzKsex9QuRIMpHjmoANSJQB2hSJ2flRgXJsUHnRMmhro8+Uva0mJ2Eru7IogAQZWeC
R9uk7udRWVlc8ne5cnx7oO5BdRTiFey2Rel8i+LqaDrWsdMcOJQ2qT348G6tkPAaJ+6CKZS+G84S
5PK0r8P6KmrJNyK3y6/bhfjFct2whPVbXxG6aCZELAxS8SJiBwfaXD7yle5d1RnRU+ikafH1utYV
VvW9XV31Rioh3g7PudNfG7Cm3ChWbsJaklaqFIiYqTU8krg6j+8bFVX1OCAyhiTQH3o+wb4bAsaP
yRZcz+KaclNtsGHvi5EgjsZ4ULr+iiiQO56YmYfr+b6I4hvq+sSv5WGrRKa0T81ec8e4vZmt8I7g
oeulQfEtFLZhs0JIo5MQoq204XkIl92chxJbQumlbaTYl3UCMmYjlNFPOBQLAxvByOi2KPMAFujz
cqhq65TSQgXkCwqvHkrNK5A7YF4VFzj2voNZP2AbzBmgJZd4wBhTytYRMLmylZ2cQSbcOYUbwMcE
/q2VaxHMTn9yWv1xlGLZ41YfgdgU6EQH7Q1/IOV5XVESYI4brN2yDmYta1pcvUQ61mfjF1Us5U7S
+XaGEY7SLk9e81ldtoNlPRrCuFUVPuGxQiCdt+reZv3io+RBOcL82dThf8mFrgeiSU9JZKKdz26K
fLwi0kJyRczTW6QZRkWHYIuyCcwctIGoheY37TS7TWneCYVWU27lt1DVv8pa/oLqcN8ITXYToD7U
peqr3kn3791KURT3hejVjepAxJ97ZZuYxVM160dDqmbKO3uOQeJb+mRea6ldW36CgMOb4+YZN71f
qQYdpkRbMxjNpSlN/WbJqi2by+dWU58aGJ47R16zWB3rvAxjCTQ2tn29JXgMA3PpAuB/CecQOrXV
39LNYKqp5Xw3y7TEg5WlnLXa15qARqAVyC9iOyMpKmQYirqNmPC69MpEvhqHutpkhvY6LiC/S8O8
TFN19OHMWXTMJcp/SaeeHhrHLYDyuOSLvUgjd7LS6dpODoVxlUwEaYxdM/m2pMa+pjY3ojS7w0z7
uVEWojsTvJ4aJow+Qh+fAKskpyOusYSI/VyEX4uSBPMC8MNGtUgzm8jJBZ+RvphWaUGLS5eNUYZB
pGvzzizbZl/VepDFauLHlpkHts1agvNw2ZZp87XF7FDix0BFs62GMr4GO2eSHANDYe6YkzpYmANK
fXokYw6vTYikAZy+fRNpFyzco6AvUnvbMTHxiYKTGW3M8yEehu9ZI6ONwpZ0oM3HzVwvbHKnqNzF
JdyIRRR8NmKWmO4Q0ibBBmdSUXAi9iOQo7B1Ge8u7LjHY5Q7h9BZjlKykGCCOjAIs+W6LVaSs4XX
wDIv0Go2LrSH2B3G+VwP8V2pLjMPRCUPag1w4hBLLd1k/2I2yCEKIi22kw3ed1bQK9gqkQdKHp/7
RD2X4SL7GWKlbV0vR60PL8Jc87NmOY/s0Dda2sirwRZ/kNVeoc98scviOe9CdsyWQ9lpSoaf44ut
NHvesFVmEoP/xZVlca8M2bcqk855m9xmEfnAmPbMTdoqptvq9Wu+WG8Rsw7aZ73z20TnV5Js54tc
fqoTmCfjkFyFzlAFWP5HXzRt6FVhdiztQt6lUxrdNzEBrSJ8MlUi2VRuXSsv3tqifzI0yTXi/qoe
+SrrRNSGhupsFIfQNqfI7xHEJy45tiObHel6kQHH4qe4VNAsEPaYHXP0Fp7OM9WQRg4wRXmd7I7k
r/DCBkS2JXH3QMoeoKlMYoJVPhRzezWV6hpfVEBlTnVktO2h6ZSjAc1Dqu03MaHTNVnxlI20C7v0
1ZbGoBuqftvR7HY1/6+opHtmgBdLdCyYUbWDtSfsdeVSPMcdh++InCVtrT1hjuu3xgZaaraHpRNB
bmV8PLRublp3x2nh+5xgHAlUVX/VYMS6TDJvEf7xjznAR1zcSZsrri6zAVO47bZUbl+pwPbJROQH
lY6r9eZhMZDBDnABzIaNlyMeFI1fTnuCBCY9ZsKMt1rRv5An/BBZYQnKtrmSLRpoihi6EAxzUPaN
WEFlYmtXU5Z8aQUEjrqTca/UzblOnAuSP2jzzeZmIBkAVCaYrUUvtiTCLf6oAs//H/bOZDluI+yy
r9Lx7+HAlBgWvWjUXKyBo0Rxg6AkEvOUmPH0fUBLMknLUnjRi46wF15YosGqQiUy73fvPVpP6w6n
Ow8jRrAGY1kwbZht1XK8ybpq7qnJu1XIvtNz0giLCW2UuSl3thHu+zF+DjWB6Ng75xG8dzFtajdZ
6s5GjvlSQ2BTktswnY2UppktaIbf0AmCBmKzkTGmz4bTr60++MzQ8mDqrWTLoYZ8WNUj2iSnc72P
BQ/iTl7w9bkNZuwWneAftJIeGAubTM1ciyx7utUxLHZNsvQdo7zKLUmjKAMOq19FDDSVj2FXFCpk
o7yW+wR3B9WgUd853RozuDJejXw6uSoiZWn6tNAEk91HS8dN9kWv8lsk5LpURW4mtDJPFspaoV5z
mSdKv47MYmlmSbv0u+IeuyW4AqervG4MtBUdFneGzG960xrWtQG9MJYfzQhcCzRqXmnUIDC4u9A2
H8G1XA4RsgsaW7III3RQ9l31IklMzEI9LSrKSOVAFpJjg6hEcwuPND6/+bNjb95SWRa44aGSmonf
0FwOjX3qmohRtn2YjV8e2uGjhtZRu+ZBm0Z2N0X5mWfLiMxFE3PuEBWMzD2O1Ce0vnwzxfjlRzpZ
zK69rKwJ9kw4bQaOEhQAhT3ztfyr7DPK5ULUaBVaWUV5glml13rSrfKGTKbIin7Luntwe2Njj2Sx
cnicW1JyHs83LogQv6Byvab2rGN7Q0ASbumm1NntulrykFQwycNzUs4eVyTmAfOYZFTsOt2JVojK
y0u68kX8FfYrrevaiL8xOhWBehIuvb95dzL1s9VknjJRCiiVYN+pxcekD3ZNGH1q7OaudAvqgmiV
cORmsOybATsm+97TWOkPUQlHplZYGbNgR1Jt2sVt+sAveBdGirW02QuuwqbE8pQpD2ZWdB+zqQNf
VsUXQ5gUy5pWVyxGE8LzqC/wGt+XHZ1zcXJFg8hjUjpy0dXU1I/up1QUh8gIP2Z9GP2/GVn9/3eg
n0vK/vlAf9M8UmyRPrY1B/gcTMC4+/q//+dPX+f8k98P9bo6O8oxs4gXNsybqRVZff6I6dSfaRvO
239NrVSbzDvGcRvKoGA09cOhTvPbnKVxkcE5C+kAmP+FNxOL6PtDPb3ulMuDp0EgYNTNr/76UK+Q
ekwkdMFzyxBmOhJ6EfEJCtbMWmEmdYlY3DWLLBUnwXJP0TfPCs7GEogc9TiFl2nZodLlp3Qs9mmd
X0dg55qZP2fE/hGP6ZFnTbLIQdQFBrstdiOHUO0/TsSI3QjEZtHpPBcTq+DcNa21jJBsiHmiJbAM
NwZ7dNrEx6blKGo5FB8aXa59xskBYbUP0nUfMJpha8xuaU9+tgk2EK44g6m0iFKQxhbOYjuvojxT
jrOzIzvbVLa7t1JIcbcGeXm8LVkf4992g9A8yDiqP8W9Dxu0MzIdCCKUQk4x8YVd51YMVVrU/cqW
NAaAjpfxFnW8m1aVhMWxynBMBdSED59byB5eT9LcpqRnQa8qHAdXbsrIeix9WB52X4HdddJ+TZXk
MfLVaqHXDaHnMFpVEye50MXz4XNQUv0Pipx2ja1cd6Ry867fmTz1OqU5DL1g4m1RV1paC5nq12Md
PZZKcYEvQvGKpj22NlK3rZRbZx6rkEC47lplh597RVXaCf/nM2U2hFj6rRY1DJCybeBXB/Bdp0wf
Thg4P6tjfe2GPPpi6y5xO06+9tbXgrMVdkwC0/ImLSeAFdEyBVjfi/paNs7SGHrOs+bHzLY8KqIe
Xafep3HfLpwMX23sPudasTJT62T07aovHDrnpoVW1Ec/qi9dXKus04yanGWpaKvcDk9TkZ2dkceI
mE45nYH1oFPBUxzZW3iAt098losy7tduGJ5ivzghH1xMcHaZou4ZTW5KS33QRbx2ouZYGs3noHDi
1fzRBzbJYYnHPtM2jjUctHm5bF311HLAGav4JC39iuKfRTMpdyI0dik+Ty9t4QMl2a6mK8eJHELS
1ZNL8W2Xpx+ZS94VanjdhMraL8XBMJ01gshJjal3sUbt0JvD545fgn2VtoRsffC7ac/GZyHD5hDY
aNkRkvgQ7oqaMlRnlE/S1q87d7iWI61AftCJK1tIDqF9eLJ8E6qInp1lSjaEoQYnbRoX5ug15xlP
DNVZpVW+17ilWtfcpR2F89VcPV/SQT/SRa/SSW9mBiOh4GqYy+qHkhx/mtpLgx57GIfcfhTbl6W/
YTw7rhXDf5hkeuznEnwna2+BpjDUMBhjzkX5+lyZr72U5881+kpINypbXiSiUDvS+XNtzqX7HAGJ
qw984l3sXsY089eIC+Vc1Q9hSSHyZsdrpj3Hhj5/Wu8XglmXygB0xd3Bp6XrDUdVKAA0Ey5yuACg
OCU1FjWte9HZ9JODAUFAgySQWdWpnNECfZV9KQmJr/VJoYYO/EA8gwiixroSqbMrZkSBnGEF+Ywt
8GeAgRK3i0IlHaOHeKNpTThkEU7ZhHlEphf3jQ0IYZyRCEo2nVoYCWyOv1ozNEFx6Lgvc+ENc1Fy
HnfXnD8/NKRrKKbaOkqbYoXOywWVREdgICPWQFaAbEY1uDO0QZ/xDX1UVmuS94diRjtQWnJOkuqu
s3Cyg3S5DSzB/U4kJIcLQWvG2Z9BEeGMjDBkfMdkLKfCfabozGCJaUZMhIIh0X9iPmoSni+sWf/8
7P8/aRnlT39/7s8/9f25r7l/wOA1LItRi4OVEzfIKzGfx7rgH+rx3vJcaMDDx4JZl5rxb4Dj72I+
wwGSbOwKmNG4JtG2f/Pc114Kxv9yqyDm44ii986wqNXBTDPvMF4/9wNp93FsOOlZ0apPQUSMdWrT
z9oodqmG4yFmUlXLdmULZvodlnr8CO5YnXqH8Jffk6XI4JN4baAw+Gr1dSDUNYfUmz6ChOrYRbvo
gvGgNv7SUubSDa35AGy3XKRaeggF1RqdIrdpUj/CSQg8srdf6TulW0MhtxqI4WJwuq9AmqqFg7C8
JDi+ssZOeNrI2FSlj2GJHWvgEIgpwiZ/taDu2cJZkI/rvGDUOQqx1IP0oh0E39KguTdmlkudj18L
1doTVSmZsMP4CLo6oZUVQ0c4Mb2z3Ut6SD52PniZ2EFnCENqLlMbBTy24mgxBSUo4yzwoSgzYG3W
o41vt6qQ6fUeknIYHBtmzIjTFyGvyStGWtcyXb/uo4R6lCBbJbl+9DX91qfDEmply2DApXyzqbuG
2gnF8Uz0tswYqXh3yo+OoMnCUkf8E1RrV1Fw0+hx+aBW/YdxMmmbngMuBvpmqvWpF1fyYQi6XZQn
m6xE7DFbQUNETylaa/i6F/rOMQz0D0bFEaeNqDCyTGuVJO201AU0lgncrRcAEN4oRXttKOFXQYpm
0zOORQRKLgrrsRkeS04+Zmk91qNRbFqpbtK2DlaSiWvxgZBjfpOq+KCeomD6ynPsejJgjNnIjzwi
ZOg4j1KLTz73905tcnVL/QNIIem7ZzMDoDzSqG26cDh729o2cow9NURpCE13PBnxxDM7KjJox8L+
2OP4tCP6UYyheKqmTt+ihLiIrZYTfqso+G9oSW/0L9a5w2NdP/2Mi8lPvVrnZmKehY1UZx2ZIwk/
1jntD2P+z9/zCn+db2gpA6YwDztVwmm0+OB0/b7OuZReg9NViflTMkYFyb9b5/429hYYN00xW8pN
sgTuu/NN19LMXBZWfx57o7ZXYeeTFUX0xNAwRiECyuwZSgKD0usOm4LWaiBoNZW94q6cCFAOnTUl
h5q2l2kVE+KcVklf5sTAmexb4stAtXWGHiL9adUEMkIkGSRl8VrgPrtqpjU3Y11Tz4WrgKJefyTb
zma56C2gsIoPerKyAn1id570KH8Thnvi9m0waKtMD+S0wtaYaVjV4Sw0baJtWpVc0UZ2gSnuUg23
0pqzzw58JwtTzmBrWyrduB2MsY2fe8MZ1kHsoD4EQUxZwgw53IbI2XvFd9LPkQ8myA16TQGQPXYr
JZUA8jKSZ24I/FrNOGZ1QorPnahDeoEzanzUUQk9UZFKE2P4bPUKMJ3ceaZk0/SajAXOLvkzorhg
rjsc+AOulIswQNF0NOyOQZTpXtpU7KKlkn/mEJx4utYkDBd1FDypIo+2gn5qctPq1pEmezRSWY+a
kzJYm4pgX0olvaSMOfQIELobp8yfEnsSGyM1AmpDO3NTF020UjmveQk+wZUp2vQyUanWqtgCZ2XH
Cl5V/cqhU9oLHOMpRILZColrBHqXwdPAZGRcBDYmX+Vzyf5za01pSySBo0pICNrufR8JKWKqBTWL
fk9J2jmlB3JTFFm9d4UaL3UljCH9MLIICqugv7/DNB6jwdvC9ITdj1eu6+O0cItsVbehoP00Q6aX
JqnlFiNcPkl+Tce4T3N8WkEVgzuTpJn9nskJaKjRa0o0wJZyINBMVnVFm5fmDUHPsDeSnTeNWoUK
O9K0Rec5qC/VHVbkvxm2ESVbDZrdIsbW1cof8mSrYTBbgFf9Fiv5b9k02M398/bwz8oVygB/FvTi
J78vnUhDs50CNUenIOBlEXy1dFqmydbR/sEj/S4NWX+Qz9O/GTpeCObfV04LDPFcaCwsgr0v9S3/
RhmysZu8t3sIFrrZPm1ouphLJl/vEOuWTVSXOMqJPSDSR7Hr+Cp6eWrhDdCaYp3Y41ZhPLiIw+xq
hgcuoA6XHLUwZ4z4KdK42U2SyQEp93ihWojpej/6eA2cniFp/bnP8IjEw0OpVsexNXaE450DwFG5
MrlR/dK4C1BNEJggZjTp9YDPAAiW8YUk/KKzrXrhG+qVqyoIt44vmNjIj+pgPw+zFh735U2GOD4v
n0xcJ74rij0Rz6zuzbZsl5EGf21W1+OgZC+I4J5XSUtoHqjZrMWbPrsyXGn78EWoF7NmP/XYBJZ0
MD6UL5J+/CLvswzNWj8pbiglVayWTOU0M1i6rMj0DrjrkkIRBqcjc0+1tRfVaKw6gZsMT/dlG4+c
ZfN0kRUY/Vo1/trY9pNPJSb96A7ogOZElYxO05znj7276F3K/NHpb+xBSzwt0x/itEYbc6W+GgcN
63HRXVh+Xe8rNf9c6WEsl8DEC3Ul8F7QeZKZKBovIMXQFkvS+rdqyOjWJv9EMkOdET73uVlQEQeU
sZyG4sCMY1wotosUA4c0KHc5JMdaw7GByT2F8DgI/x5yJKJDAv2xAFeGnVLdsWUkMczrXhkzLNIn
Z+qpMweL3+cjgeto30UUKJS8fZ6j0WRHwjk7+456mzppt86gA1CHYF+YWdQkXtNX0YekVvQUkgKY
jZXWO8dJH68gfiWs1NiE4rQAs1CqN0E3XvmVpMpeGucqcNfKoG+ZHVyJ2N756bRJunYbqlNN1Cu4
bZzsTH3iRh90AIkqxYzMWuu+xA9Nw7aZxR+FXdzaRUjC2fmQKRwNXFlvYbbdUox9kH10I7P2nmrQ
Lf2PiP1pWC4wflLGEBmMM3qxVjVmUYM9Hqy8UC/4yHnUtPFTTJtnJ/ndlDEQK+iNYmvpvjdM9saY
xIMusxW1db7XtOlxCvzrTFTlbhQNHGDFvIna/nOu1KusvpWtpi3cyr0Kwhhpp2NsMe2lpX1Q3Ril
o4g3dSS30RjTF2oYx6hOHrI2iGgztNZlgwfdqMplWAbRQlM496F4Pbo+Ip2a9cvJmk5MqM6h6nzU
9f6iqBWMWvPRS3w2StVaqn58MwXhudfMj5XsOd1pH9JK1Vaqjrs7x6EQJcrJV91NjFbXMltD3sw/
dz5GAKNndBOMvWd06UWa8tdINWMMa7xeZjsnaA9dk1/wNyc4o4axp3C2AQvYp/oayXKka0fJs+tQ
pQbGU6zgUxyhbQpKNaRQnyel3iZR96l2+3XvYi53+BUM56Fx8iMeKWVRUPRuaAi0jbGVQXk/2lh9
9BlLxTjt4OjttaNV8OeGHnenNO6jVu76WmIx65gwOyZ+j2Bn28aVnhOzH6fuKDosuIPIN34unZ0r
S3ZbtL06yUf4dgeqwe/svFQhI6oohOZSL9NjmFcX7E6oYjVv2D7aiNbdFzPjq4avjMM0gDCs2MGI
uTSOum2qVxeVq19zk+yLlorGUDbn2lfXnU1MvG27eyLnyyk003VXq5dF2l8AmLhQDHVGhSiox+ZW
lUzrMVhkU7/tKRJw2eAOIFqbdLrCBUt7SVYdDUMyJ+aWddAhszq989X8Ab/Y2azErpHmU21SHVpY
O/q4PnR1dCOc+halIfWE5a87Ee7szgH3Ue60DEfQRKEr0+zD2OSUPjB3rbX+GDKlj6b8YUiNG5eq
eU+nwUuju5pGCHVjQo7Ny/LMkO8isp3n/6SrF+lKkPL7573JB2ZV7c9YxPOPfd+YYETlPKezlVA1
Auivz3SzrEXVG2ZTjlJ/goy+b0xM3KYamhKHLHMOVL060xl/YD/VLb4LM7Ro/qN/sTN5m/ebbaiI
ZxqKlj77UHkUvt2XDCoFX1Lm7Wkak8Xc3RDUwouczHv1vnDjj0GR/y84BZdFlDf1PLr7+waIEZxD
fQoHVTZc7xOvWtp0lRWb5UlthXuXhJViweZLx2mLdicIdzV5a+7q2p9u+HpzZrFYAmPHDj6VRUxQ
ORjdC83OSoqYpRguw9G4NsaiK5bWGNj1Ba6W2njohspyLnu/6rp1rJGMofgzItmhpKQyU8BIEdZa
fVX0adstHCXANkLffn5PUQnIMTJmKrLWF5Ga/ck2y/RstmqZLrQSx/+68AcDBBztFmnNjsqO+sI4
q3gwk0OXxmfZJLSh4AtYhO4l7pwnUZdf8ypY+7V6a+MWzZmqC8UqNrrKq1DKCN+8v3azlRiynT+O
1dJIGPfhrF/SfvscOsg9pXnS9PK5NbobuICknEEZf7ITkKRukLRHnHASAq6w9mnkkgLJqMObdNKn
imI8m3Gdb00/pKOvoecq63za1rAlrXQe9oRLTnWOcj/pTrcMoknfNLl9N2rKfco8f1nEIc/cpgl0
G7mLiraAyqYVab1o5Zjz/wI6qZZY8o5SZrwnlpOH13XQKavW1uTKHVRo6iTaeBd1+BR1Qiu0qciR
KprpugLpvg8VTftN1ar+NoH7ci/DmYQsSTBxziK+S/xWo6yCgF3Dief4Y4997Ga6ofjFq7Di54za
PAoJV9nGXslV7om9uTZWzBYWv43QzirIX2owhY+GDZASIUfMeWfsGm+/U/R79W1Qh8XJ14M9h+th
kQSV75W9qXuOnbirqvNnHJOFK40t2jGwpb/X+IyspMoWo00/rw/dDk/aQzNQWlLrwLCbplz7zvRg
C3bnsY9wwGDlI2ND29NlBaOuZuoy9CiTWkgKXoTDajQoktHIR9IJVpnUS0zC3U6GxqRF35j4bDz6
HecKPrJ1WY5/zFwWhokTVy1XPW0quo9wkeSwYmGhoNTG8LpBXPYDwJQqmNNLRnAX9MVWM7JjOzgq
w5pyoybcaLZbUfajxje/XkbeLiK8s2RCLQQt1kvaMek3ffvOupPeuyVGspPa0TzAQkDzulTzhYL4
hF/RhOcZEIz9saL/ZOV6SZq++TTfXfPdp6kMnS27JKhP2B1pA5N0gwUF4Ul7a2YtbCTGgYHFUc0G
EyVSZp7CzMfDJAF3Ooo4FJFzr0YU1zMufPYTc02DwVEvrCvVn76IoHrACF4tKyo0/8yo/KcXzE2m
Pz7B5WPz+M0ycnrMnv73/xyf8q/Fl5+2s84/+P2prOt/EHbF6AxN9tvz9YdcYEK7pTSGBzMPREz+
P5wkL9AHKAquixqpGybc2h9KK7RbYLYqcWWO9//qiWy9Wz9YNISh26Yzswq5+TRUjtdagZ02gYNg
qZw1hWNsQ4OHak5Pfh8SIBSkOlqylUKL1/IlbalGpbx25wimbncKcUx7jmYGLylN5qHGsq01+dF/
SXEKhZoOK/RnmvdobuKKgG6tOxPEdeqva/YiGwy8cz1hjzu2iYZVVyruWmr6fU4c+0tQpVDF9KFc
F6GdLntMAV4XdECOCv6uYVemRwmqfChnDjYjI0LG9B/v+9zexzE9Vj3yqghRLetW2bQ6IY5BV72u
IpKZujTfp3qHlDge2W7gnbbFKnTN7uTkKtkqGQcrl7wpTkWGzYx8ATMkA4ewOYg50sHuoP16ui/L
1WT0SxoC60segUyhxyb91DlivNG0j5HJeAkc8Al8TLi0XPcKHguYHF2jOCvGocimnGnxlxpCu+Vw
ejEbzP1OJ3CqOMO0aXAa7nNY4Z4womGXjLW6qtFRkFt9/JrOoBa8Z45O+VmpsL1HwxaB65FWMBYN
hr2K9nsvIUJ3NTmxvcGBkVwNnXouyjDcuokSQOHGTOsl0xStFYV6ScrOcwgCccxCK31YBZNuzyX8
g0nI07GJZ8QhugrCR+nfkPUpNx0JFnBRrp3vctl1m6wuor1vKc6RGlZcQpBWj1Ss1BzdtKr1ryiO
/ZSGtPSHufUYMAv0+jrVV8BKPiXU4q78pnxWiW4vGiU4pH4IkyIez6maFPgEsudwEsuK+d15zMyR
PR1eBVM65P9ytnFKZ+1kR+IXKr226OLxJowpwtazbGOG/MuVzkIbRMusbux114taZl9ijmvSlCO7
XjePnSiV/WjY2FrQpS/FC7ZEMsdTa4+JJG6fJEAWS5uDrFx12XKjQaEFqiArQeOPWRRLpSg2hex1
5pBTuzHC9CHtbFKHg0aJOfmrfkB0om1TWwvTd0g7ZWslc7/qSn2w4uyqaNs7SJDHurT11tOV8kQ8
aNzxAI+RpKetIhgYZo1Ib9XY91eO89Qow0WU2heRaR/GEJ4tXpZNNYzAlqc1rxkLTn4QMI6mTrkQ
WnTIQtzLUSv8Y+6U9TKzSmPdhsFNOA4BtBXgfXG3TSo+JPxH+7KHbqnEtu/pifMYtIwnGys6D12B
+zUn0q40XbZwXJzaVrpzG4FjEhK4RBAviDkXzrNFUV7bZGs52Wsa+hdqVxfrQFevSzaFYRlz4DQB
J0A3osXHCxuBB2tI75yURgazvSPL63CTuoV19tkI7dmZPJeVdi2mdje7jYwsW1kNG2Y1HMh2JOSy
u8fQMjaW7FY14DYsos5lneTXTqF/dRO+w1lqPDXueG0qOGWpDD2O1bRWEtxIfMZZ3GIuBQkW4BHp
sKd7qZ99QZK/BRbGMTeJdzxwL4GAnzOoJ2CXqCMotnZWLFhIE0IE6hWRCZyi44JYwC732yWUK9xx
ygYcxNa2iN6UcFRqIPdCHViJoi8W5c8pji+ldRdJCBeqLM4oDg7VecWG9gCMLC39Ug2O+y7YDqqz
zArl0OHsAUj6CCPTG5MBASh7Zti38NnYm2Tg/SZ9kulT4bfXuH65I1XyJ5jVe1JVlb2s6Z7DXIgl
Vy5MH0MsDfV1Y61NtAURDNfm4N6mMQlhfMA1kw51k5ly4fog1iBYMA5R146bPY9VxIYlXI+4A2oy
MJYzuGziw52hMdGa5L2qNfjZnRvLKu+dsL6edb42+5qP5VOlQihAifVsA365Va5rEsuUIK1IIELx
CK8MGR6LzrhmX/qsKQTBpIqliNyJqm4Vt9s6tbJWw/QmxijbCO1O8pvaQB08S5QrX+kuarVd81U8
1a6zxkO/JxLNBasVWbphMeT1km1VzvRe/9K3xT3/K5O8mrEckUkWfJOgn4f9Ysz7R84wi9xRLogc
7ibFXhUjqlMnE8gHPCTC0q/wQY+E1yx7ozd4ftv8oWEvPpY2YhM4i9AkQdHIbQ4eDf9WMe+RN1rc
3fdS/VjI+Jpms82cXo98CIGauwryZms3grvT3nSiu8qL9KKcciwY7U0a2Vtn8M++Me1yM9vDGkSW
wQeQt6A1SI2XvkqCoeco4FzF0j0Y2vCptNLlKNV2QaT8zpcW7dz1Oa/FdTsEKmJufdPiv+jKIvfk
NIei00MqaAN2KGfq0+Ao54VqKu7HpLnQJWjwEiYOEe4YEFndz5seRL8yv5PluNf04kLRMWlj2/c/
M7NNb2pmWItJb/ZSJfTWU1ZAnk9R4q/0U97FTWbvOOwhHtvNp/nEoMOSj4uAfJL21coUj7PlPVaE
HZHZM+sts0KZbDQ6VACg870kh7GYVO1TyGl47RrJbSYp+KoGSjQN7TJO8A4mYIjygvA+o++tn1gk
9JVsFU0Ffmu5sMmtL7RRXyZpvBJhfjkE1ib2h/2A/aRUypWCUb6Rwit5/vENoMgg7mxi88FKhgon
A3YISUOJe8pDYnDzbac4tN/BlY3UTYAXB97MKi+AVGV1PDBvnmhhyC/GJriQDX1jAt+KhFmfs4Nv
QNfhpVf2OVhicmN8TwmdasUuVZrjpPSfall+aR25CmJ6Yvx0oOOYiAT9LfafvY//WKP1VrVxXnaI
jJHgXxtUGjIEfbtDpF1OyjbKlbOabSMOYkVyTXnGbzSbd4etbxexNOZfJlvblwz8q0o/4kb4HU1N
OQ/OZ9lv+vbTUDwHxjJj9Pxqh/6TM9bPNrwGgs73K82/yasrFX4xaqBAlbMOd8yklsFmzDQx/fgQ
tw9RYS1+fbmfvnt8mxBQTSJk71+Y7hQgA9MiuOyUh6a9qIIvefrl15f42Stit8xmeaY/gCp/+4p8
yx4oGynDS+BYcb9px3GVEhbIgk1ERYLe/Eb6+Mkrwv3GoYV+YRP/2bsTQ0d0UB/VJrqM6CyJDOZz
waZMfvOa3sorLzfdm4vMf/7qU6p9pUGN5iKxRBqSB1ADy1+/a797GfOfv7pC10xNJ4kHXMryiLF2
kRS3vh395iJvPfp/fxnvPpoyGZOyy+roclAMLxQYOy9NCntc+5OIFlZ91tv6N1f82csixscAGtM6
8A6sO69fVoKcGuWxFl3a1VWlBgsqbmz/+d+/dSireMwM7gMksLfX8In3WU4nY0qHQpy6SzsvFn16
9+uL/OytQ8Z2octooH7fyy9Uoth2FEEQk+Wn3CJ6wNmDxcD1b+L2wsRC0ftXv77ifE+9El/mNYgl
7q8rvvuwmG0x99HG+FIdQLnWHw02UL++gvb205ltUUKzMU7paO0W39d3i09dmPhzBi27jA9yBy5u
gaizECtxFV6LBSi9NWis9a+v+faSf96Cr1/Vu0uGHSxFLCfxZWfVHJPxO7osCsX211f5+XtHsgXU
DHfeTJR+fdtZk2bZTabGl7S9LHTtYqbm/voK87v//tMxtfluAzg+S65vr1DWeqSNNZN3m6MvrYHs
Nh8ikzxeHP/mtfzsHXt9pXcLHCfiQmq2FV9q4il0roR/U02/Wd5+fgnSQRhW+SbZ7261CEK7Y05B
cpnnZwGTeqAJWm+t3zzqfvYV4mb7cZV3H30iu7AZA64SJV9Scq+GsmKAKJJ2kTSXSoIZ8zef0d9e
FrMWjC+mqvEo0rDBvP2MdNe3y8wu0sum22Bp7S1CMde/vg3+dqO9uwQy2+sbjVJK3tCwSi9pIsD0
EZBUF795235+CcPhW8OGB53t7SXiYcDRz0nrsk6/KNPO6r8F7/5xR/W3W5nX4DA94HuC8Ka/OLxf
PXpYOm2k8im7ZJ+XtWIRxrsoZmPqPr28V/+pssYvVdnrqHui8OIr79b7fN/8g99VWQ0UL8NQEnRM
Q1m0/rK/gswi98cAEfOLypLG5/fXqFQFiUAuUJtzfABi/hJlgf7yUdIBZLG+v+i1/2JU+vJ4+2u5
EwTfkIotppGuZekG84e3N2Goz9gFpmFHWVRVaR8UqvVndqip1pm6dM04Ib+rG8kytHwcBlHfksEb
R832xiYSZ7ST9NzODch4tZSdELlxbBNlXPZ6nV9kvpvdjEben1uqBQ+zIe5LEzT9Xs/65AZIqLww
QYXni2bA06RH5rZgpLPWYok0YyPkPoSqqroIbuS5JY4b0003ia4x4ktzXKcgT54VI5rADVhU7roh
dQ75CDRXdVxyvBZYUT3WPfyW2SIK7eQyy1r/VmeTd92WM51LpYAQVFdqz9yuqQyZ8kj0daZ/mp0H
Ohds1Q7NoyNtAfprfOGAIUd0V1JqDjUSxYwKA04FNQzRgWI1EVXxnRJPpCKqLoExNsz4ANwqM3tM
zBiypMXJZs5osknX9aVNPfp8jHWaslpqM4ZH7aQrLsiAyUf/BdZD4hpqrTsjfJRqxvmMUW4YmxGs
7G4MwSAsi8m8nrSa6hq9gwpUgAdqsBntS4tj+1Ggie+cipK76ymmqHKUgnT9IuTG7I+ZS9RI2fy3
Irx4J+ZHzT/PafB1MrnxHuXnx585KOYf/rEquAxkkI0NzBDfcHk/ZjUqy4IOjgUyFd4Ccjw/lgXx
h4axAlaK5TrfCsC+eztZFvgiMysw6PhnXfhXVV5vH03z1FngH51XJp3mZ2t2s75++hmhpvTQS8xT
iJpbn4bh06u35SeHY/Ndk/WfHg2TeTbIK/bcwn73fG392mx8MbSndmL0jh+AFvdT6sfXQjbPDbIi
Zs1omZkGXwol3+Eq2coqZhRfktSdHQeoK5vclhhM1du4Ddcm1gQlJe+mu4dWECusZ/PCFKZn7cXP
YHRNBcaYuUHPNqijAkw3FoI8HH3kxThBfFHFju4+/7kXKuamLLSWLHH20jSj9Gulz/wQeldWJrMl
bOiBch+nULPdxPzShgOzbPoXFyYekAttxq4GmnO2S1tZpY68hwdorNhzUothmv1lPNDVZWAiWGvg
y71R5hedjB4SXT+A4iFpnI0HcsvVNs2LbZ4301L61a0vUlx/0RFKi4HXPn9QVHhQxAGesamem4EI
ZJ1N07plhhKUzY3NxFzBXWVU7kOiKtu8bPcNWPCFaMerIXH28TTQIDbJJfb6Pd2jj77W9V5D02Dg
Kss2iR4bDBJebTOCFs7/Ze88liNHsm37RSiDFlOIUIwIajmBkcxMOLSWX/8W2Le6MlnVSWt70x5X
JRERANyPn7P32rssSi4lOlgoU30Rqs9MKA6gHXZ5bRz1ojb8Rh1Ombb4JvjEpqp3Ju1Et9TB38ZL
t1vS7KoJ4bC3i7joYtgvcDCZVCQHXdLvugy1qrowctIWlIsaJz3RTiLo7Xg/E8LsGgljgjAh8Kvm
YFuCNut1JxjlxuNe4AEoumFDfM2BNrDHfO1RZzY1CuNstmQmd8tlGus3IqcB24eoJfThJMZmX87j
PpoSyBwMxXJn3GUD8kQ1uzWVkqTIJHsE1vGghNajGfabsjEP9mIgFm1eMFJgyejgu2rtc8mXR5g2
baV5+ZZmNNUt4TWhgfhlOlYjSQJ9zXQAXzZ/1G5VV2fIEZnWC2/Bhqi25yhEtDO1XbKR+p7Hpv4x
l8nOXjlwWvWChepZkuTb1lrBG2HiD5PjyUb2tqThdZoriyvm6Jgma5OSZrOrS9adWByvrgB1RnGE
RSrP3xyFhEkJ/0NgL5Zxstfc9zg2F1+qIF8Y5m3i6E991UYbSWXyj0OLtycZb2UluZB60CxqPQKi
rgl6kxTjZkJp5PUzEcpDJKd477U2cLIK1I5ODs/YmueoU80gNswH2bQRO9chHTeng+IChLJ0h8rs
eb+bIQQGOEvhvIoX4/PUxOaxxo8NspbQJLB0UK2llP5sVgpfF1aDu1qSg27RkQR1YXpTwvwGYdHL
F5W5DpJmuKh1c9GRclTpVbsvKD1cRVvzztS63VFZJUEU90dTidAYplWxVTCHhNPiBMu0cpD1rArK
ri6xV8TZpUWBw6hFaq+ZajHIDKt3Y5kfmlB7tdJ6x/p2SoDfeI7CYHPOpGOYMv1VMjB2qWlMXpeV
+W1p9AxXFTh1jz3joXFoRg+qw6VOG52VxQMl5NMU7f2yKi6s2mJBxBuoWON10Wv0VqzKZY06ILjZ
ZVodJEPiVUt3zBJpKwxxkjP5kUOYp/VrrEWYbYspJS8QTU0bE1tlA+NWmAu6oR5bb9VIDtWyrI5E
vR7zu1TJxw1R1lvNKmPo4MDThL2kwRLHzWmx07OmVjuC3K4ViLpeRjTWxMBhlbr7LHl7VQn7INJI
yMjm4d6UqrtchSeE8TND9tWLgKSrnAT7vj+Mslm+FPoKDYylH3UrZH/uSfXjcnAbIJRdMgttqG5S
YL1DIoYt84Z5y9IvHsOaK6h9dlfkWuxj5XIOPZl1YAOic0F/yssopvfM6YWrl9adUSP2cvWEXnau
ovye9TDkQFrfmeF8ZxfG8rSEBfC4Huq30UdMhcZp0822tIXzU2zLuS69jH/ItNbon5qYGL016Qhw
VzwKdiXRwaTBv43Ta6PZeQMAuXxeARLFGK867qBvy0t5tg5pPd/LIgmGmLkx8/D7PlPv7L52LqZ5
GvalhPy+DDMixfqEEYosP8OIBmY36fVTb8J1rErilFPBg24xRnalUHtSkeLehqoxbeyeONGkl+fg
99szZ5KfeyAf2X10rkkDWs3EHEF+3f4ZZJskniXFuYOrRRzX3jDH67FpN7+/DBqSf7qObljgSTVe
+89FQGcteRoJcBJZdmpN9Z5V6cpmgsxySc08r2bNOdsNaDMyO921qgDxh95MLS5YqY7kmLiJk14L
xo5mLQea6D3gy24Rhd/L3hzcmVcAmu7ZlL9SUP3jJ+f4ZdF9MFb156+/kJH3Zdw5aXEecTtHMzNy
oPHlF4kqH9bDvw5n/5KG0etaXd38Rjzov16l7dNqhus0nKtItOjX9b2G/8+Vw5p9g4HPOnd8kqqs
vKal6M+OvB/tcTUVVyxUWF+WJGdouPTXZAw5t5AyvL6EWyRzQsJAw1auQhg1yugcS/FhClFHjirv
jZkz+p+BadwYSvaaQhRUyJDcLmPthq1iBiKL0yDttHeJMF+UgUyUtRpSE4HDXllr20TAQmIrorQR
5p6gy+9IBl4nmFP9ym2drOw0L9bgWtYs7WRlTE5ERObuMiEvi5QOnp+TWL4SRw9hr+R39WiwfygR
2oKKGZdZdTuAYcFQssUpKGbmxEqDSlYvOe0W/rRMCG217BjKrz16PcPasy4+2xJSeNohuznRoXo3
IigwZ7gVNksNP+eiU3pMvGa+FUHvmKR813RoNnJlOnAEfE2JJXyfM2MrQ9rzrUwgdwNCo7X1JtZa
YgbV6SY3zezs9Aoy32W6qK32izwbekKf3xeUU7yQa66mLTMbWf/7Tw0dGmtlwX/rzmioXzWnzf2l
GrKzKdXAVlrxgs6ZnBuotYoJhDHOkD1q2YlfZXGh5XA4jNpTJy3uuKgno7SfNL0QmxbXyKbvZayP
BkqQKMaVA5UMsnypEyTIpu6DGa19ogWpR1iI5LwsiPWrb6M8njxFtAyYx751OcDiK4GnmS/vDVZw
h86UNygl2YC5em+qM7UzpHmtU3yzbIkDQkPhNqP5lNjmHpHnNwZMKWNklgEng/A43YUOLPqh8Wq4
AWAaeUKgZM7qrTEMpzQRt3Vs3OSWszXn7skGUwYSGCOTWffUgjWajB5Xpb1aUzVsWTINBl8xpVeJ
Z8KrHO1Z0aQnRQwoFTsilAQqg2GRJleaSnRCzVYGmUIqJcwSFA1i8PW0kz3bHi+sJuEnGYg1AsgB
GfhOWxOm7Qkn5fyqjfJ7zdG9sMwAS9Up7Qs/HdLLUkxHqzA3IwpuYcWYXgqL8Xh8nVZSup/tJShx
QplZ6OcVBU1pRpxLeBkHybke6+4HiRtABWbZA5WPcBb4q9kKEAZkPijm0Wy1LTMy7tIqqdajxRvX
CjXtxVFS4Ocq42OJaDmS4itD6MBry42aShc5u7gYQY4oqMmqdoPttnD2OlhYhV0zC8dNx/ZeNADh
e6lO/CyVtsloXyzMZy2HePJRidY8WhbdBVZ6AvDGGO0rGHQ7NAUX0VgfESFQ9XaZdJlVa6BVZh30
aLyoPrx6JcoGrUIMOMrJTlTjSWo5JWQAo7U8KMET4fm6Mo3Agg882mcyCkxE6/outIbHSpZcEJEn
02iaYAr1YyLGFtpvSCClOlhei0UAYUVYbMdh8Svqhh1+ntafTWvXDFQhFjELSDiGAEKw8sXW9sWb
+rm3qwpnTpwq7c8m+/7QntDpeNOwZs1fps1J4cTy+610bbF/3il+WhnW/uPPK4MqRMHpgpWhLL8r
1rdhggh0LKKnUf9qaLHuOZ+vBKtMx1sBawTf/K9XGlvk0ok8TOdFmTHnxVO7UijvjDYq96KUeOam
4aKqMMaXiqycaDsZrpmUEocJbObIxbkzivQDztj1VGi2O2j9AwGel6Vs3SLTdzn1eF2rrhy8iVyT
aJN38UuR6I+SyKqbqIfsZwjRbXOjvzAS2aWwCGZFHhEWhVuyPKxHYhBvqwUlg2Yceq3bE9Z6sUTz
3qicS1AVFw3btiWlF6la8DJJriRsb6qUx7xqgjgL92Ol4NEjHroz8tdFng0vG6PnGgvloxqtWSNI
xL/4VX/tt/yfBvynH3Xt5P+0sKemXsRNaE9ne3oRy9tsf6Gt+Orvf9o4ZAkumRml8zm2b6vEcWvt
/vfP39/qoVVQ/tcXMD89fwSFpXKqRvPZUK9iHR5BF8iwl35/kfVX+PujB/WGkhR3j/np0ZusdoSk
zLdwVE/t3rsxpya5jyfri7uh/vqMf7S/sDsglab5RWn6MV796XbMSVyM0VKpZ8qYdzY1/y7bhL4U
DG7sPbqF+7g3veH4dgN35GEKXrNgfuONbnfa/vdfWF37bJ+/8U+v9ccH/emDOEPsVKsr5gwKxpc9
OZhu+21+LTZOsIayb5Qtv/MGNpgLEi4gXGYI9HPx/vtPYfzTp/jp5hqf5ntkjWS22vC7P017NbBc
kKFXlnvZ6phPto+Gd0TbuHXOYjPtiltjdwfBeDvtWPfcZYvmufVpnfmOLx37XbFtL9GwIUryH4DO
nMlH2hp7Z19ejLvmPt/c/v6ja189+J8qaElt46xC13oGoOAi+vtebao7xa+9xA994cdBsckP5fbq
/Rj0e0DAk5ccEtc5JOfIY/PBveJ+C72H33+qj6zKz7f1px/0czZ6HJeM5kw+ldg7rvCWXb4N7wrZ
TT3iYeARuo0HMGJrn+ud+kIjLfj99f/5Zf3rPfq02rDUSHNbzdNZXsrAGseLBe340MvlF5vSuqr8
/Wv+dZ1Pqw7oO20YlgzHVES+8fguT7vRfMPdXstEMFWb33+rf77V/77a58OkBN5fM+qkPzPo4eR3
U0XX/38X+HTm0yYbXzmQ1XNqXKgJfUDH8n9/hS9ujLW+iD+97lJe2YU186KV1bnN002lPi2oyH9/
ka9+p0+raKtkLWrCpDtP610hl8aZEu/3l/jqe3x6wPpyafuiJWx9HCYvNs85CljG0L+/yBdPl/Vp
VTLDSJppzrEbTCZIqCJIs+5S03rPmlv0aep5QITy+0v+4/cCuGdBvdBkpHC/3h8m+RqZe11/1uGP
JwTsYSUzt7+/xj/enp+u8emlySKAv7XQp7OR6PTvr/P8i67CVxf4tCQuaT5pSVkPZ5lFm2Z0qmVf
/Eyf5Ed/ljP/fhX/NlSOGfqEGc8xZwOcikCPd8QmuQu5r54Iosvezb8IL1pdSr9da9Zv/dOrgyhX
Q70u2KOeaAwXrKqniGu746tyXPaDe7V4Ff/BNQIiC1z7WnJvumDd1a+e6yvtwKlduEkAa2NXeGL7
1cf7x40cVfu/S5fPT07cjLIS8tIpl+tGLrkMnfV9oXhuutX9x8I9yO588UN+43DW3M8Xozt+sXqp
6/L0u9X4030fpBY9izNTS/iDv/irYcV0nYvMv3HO5lHb9v6zugndgo7tBhTt9muJ2FcfwfqkeJGm
XtKLserO0kXpEvWwuMk3Y6P41kX/fdrh5z1aW9hyP6JnzZu26WXkJ99//3Z9HLx+8ytYn56TFGqv
TrgQeYAb8sdcxY3Xqm6fenfDftrvCbBwlzO87keZfOJ8U22tK2ARfh+I/eiKl+yLlfLjYPa3z/PX
6/5Z9WxLRGpwVO7PdaBvzS26+WmzbJZjfKG47xg+Nqln76sdTb3j5Fn3AYx+blG3TTe3sb8WCf9X
HPxPzLMWz/95dH+Vvb5/b/6u5Fn/1Z8ze3BMMiRsA3rMiqRb9Tr/ntmvpG4d9KJJXUefkeXpTymP
8wfHFQ0XDHNu5uArUO/PmT3+SjAFjOuZ5yDToM/+X0h5CLn85Q3n2LKeWVhaLQf806pn/XUNHOZx
0Ds0HQyDiaojw+ixHOYbqxzIpXKiy1ypk3ciDAo3nrU7rSO9ZNCk8Na2xh/E9GxUZGTuotEfjOw6
kIvMxq4YZQEn07cmwmI1ZYzfhr64QYYTbWWnDGmtwPDOM6LwKuut1+Jbc1geRd6Znpp12Moq3SNk
L9+lVkX4U5vzFyHeak6xWTL1lmv5Y4esCHM5vax+5uBtg4JCUHPqUudeNxmZ47j7lrT2SW/Ca1mf
LkXU7kprJRjj7lERCG106kw30YerSbXKYFX9u5Y6QS5gchdGKsPy2tNqEiZxxkL6BaqvYBfdOB2J
gym4maCfKy3Q0nBrph8909wBz6vfMa50B9JweuCizBtkt26QU8f5vF8Uwj+6QtjICJYHw/mWA+1u
1OnUtvnBGrqnXibIq0owJuoaYoN+Jg3eHOhvG9P8nQiA/aBYgPkkLI6yeIgUpgiOLXmAjWpXb4DC
xcsuUS1smxa8AYinZfNQSsZb388XVplupZQ5O/bBulX2fZhek3/KLN8wb2x+oRBskiuVzWbMsnOj
OzdmLL+l0wKrUHYU5FCMjB1rvM9V/TmxnbNaWRCshwIfd6+gGp+sCyWx76RMKwDoyA/xkGTQDBOY
2eF9NTXnqpcuoiblaJdl33VJvEyDdFdp/XES0w0Y4w1gvKdeSt4zB9WkQRvUayp4ecsKYGKs9sOa
51u5h2dY686J23QcafjXtFVD/QfxLEGo8nVWqVllwYVgpHxbCoxsiQ3mObIIhmCW0BTli1aYz1re
Anmep1e9H3m+lBqxY1Sk7kD8pDJk3+BnPzqNBsZaxeGWmYfenHel2X0j0QiFstDW3tU2imNaVGF9
RSupw3s3TL7lOOSzSHPiS4IqfNbsVYVFUGXHj7QUsA8NgfFVJ/yxM6sAEz+mt7xxAtxJ1SHE5HNW
+/Jhap+zeq/xzj3TymI4U4NYjFJYjp1+X9azuJ7HxtmHKQOK0monsDbYROV+1L2+VqhJVvpfLFU/
jGTsHFjddVdchyJM5qDLCfC5H6AEpGjLCK/BDocd/7YINRI8pEh7iPUElLrS3yJHZwgwE09Z6AB9
xsHP7CRBUu9s52psfQnIC2HPTXaIK91ayRpKUI3aczkYhEEvvG6Z4JEuxs7k+E74GvF/IApIErOd
6dauJoL5hLicxPINlzIh1JHtEx26kcceKcmKWCMrLyhAr/oYI8mysc6TDhGygpkLOCo2io2wyeXp
bLExO5p2NlZowL7ZVF5lcb8BEt55AJsuyqplDDp0B10U0TlLp/tUN2/5dZUt+MZzmzRXU93fOymC
IeYbXhSOb62pP5Sl9pTLFnAF/HNJpqHPq1HLoLp9gCvB/rrkwrM15TyGA1El5ODhj8yO8khiIbYl
b1qls3VnPFcSoXJqjcZZS3/MS31fJdZDVcenrNHfINOTf5RblyaJy2ZfygzZhQY+C8UP/ivJk0Pl
TZ6SG2aYR24eKSPJgugmte7zAfXNkkF+p4UughrRhLlIus9EiDophV/S8TLNvHrWwvcU6h44CbWL
6G6SnlVAVQ5gxC7CvjviqMdlhr2NsAETqMaQO+T65oQmWDZBSUhGgjDtvkti6TalUzNP6J3YrSqw
KqFDmyvrSS0slANMsVdpzsmZXu6lWQPDMc2kftXJ7VxNk9eM465qiSEkQGQdnNXvY8l8T2rkyivz
4j62TSJ2q/d4sToPH25+NxUItgr1Hstx7oUVdyOzws3cw5Ujy5hlY9yDwwGDava7KmF3qLp3R2Wk
2eYZz1qb90ieMsRXDdY+ZR7gxUUEAJtOi5+za50XNW87619zt/9VRDL9hf9cEXmv2SsC59f270XR
+g9/Loqw6yEf1jUQjata8d9FEZmkaPuQESimvPoD/iqK7D8MuJWUUNDN1/QT/tOfRZH1Bzs0Gkag
6ESTkmf6XxVFnw6GFEU2ldrKH/7gXjif20JFZA9DNtjIMXhWdlUUbkUERbvRxoveGsjr6dX2OPXs
DZq8aFtn6q+YNiwACvK3hi3Db6HEZbMwAkdDnBKNpkatIWqvF6hLEmlUfdHZTJMIKPIlTPdXAAUf
hYEObWg0zjHycmGH2rEx9J1dOhieJVzzcwW9Iio95DanpZkBYJfpsGOWeIjyBJWXbhyWNRQ00q2T
qer3kVERRB3b185opX7RxNed3LxSBBYMOKOHITeYxcWCpuVkDV46LCezsB6nMG09RdOenKx8NJnL
OCkBExZp1UZ+6mzcaM0o7osG3Iuk5LsiZLaJkrgoko0SSc8q490I2lMn1wxtmurIbvyk2uRyCBLt
hDFtB1B2ZMPpr11mc7qegO5KhP0hKxOsFVnmaw0bw0wmMwCBog8GajZUfORRjBM44kjblYKSbBr7
87hiqKJlVLZG2m0SwsKmFJ0T8ZMYXtXlSgvNd7Wr7tJ+3oy2krtahHFWNzezyMEbExgRWu2V2Vv3
og4ZTOnzk7mmo8ajUfnIOBBxFTFJSvHc+gUo3q4hbG8qrI0issOkZN/FsuZpdEyqRUNHHe6zZ5bO
Jb0yFWGqtZvs6LY+62Jv9ijqGIKac5J44KM2sTVAUa/jIO4WckM0XClNbz8J0wRcX68IkDLewswv
3DQv34ktL/2kg1yu1gq6FtLT5YjOwwx/cUhckERvTaN9Rw/yneU02kW1fo7MaE86K3ni8pAHyZzp
D5rBoiljUGKEGXtlUR+Il9lnhnIyUMM2dkTMYxY3QD9ha6qROW/tD8Z6YfRdMA7SdVyN3wD7jQ3R
WYyj5abeLjWqOqurkWTW5EXp1c4xS0G6F/JEhAckG+r2TpUiFFLN9Jo6+l0sl/7Q5oHMaBx6PQAH
xXkstQF1ed0Nt7Wu1EHsRNO/AKJzKCBeLL0SdBnqEM3Ibhwif2BaskXGYl84JnEnrUL8OrUgglPe
CyvrAzuplI22SvJM3vQNhWlGNsbSX8wqpZAk3rVo1K+7ML8BCE2Va4JkYWNqYTxg/kYAE7Q6cFFq
9cuy5E1J8mlyNVERYmccRS7LxLvRbTMTfsDCfOk65dCW17Guo/Fs7CvbzsM9UW/nKczI+Ma/4Kjl
N73NKAjm5DXX84oJdZv60iSlPoGQiTsaNTLPGuHKSmPQZi9ZyOLVvg1YTBN0AmTCUfqBVOYxGPLw
Few30sm5PoVLqpCsK91Olb4rFAF5uxYPUpR+T3teGbXAp16tMhgHPCMNY9cBsL4GstzVRfjDgRHi
RRPPnZZZW70sokCfKDIk5IJAberiKKmTcVKK/I7arT5PA3nyNpLfwHKWEO3MQJ5tCJ4lapgGiHE4
wR0glc9CPpk58a1oeJoNPVL2TZYI1CDc8SmEfZPOy3UZVqarrCyuNh9ot83SjQZ9z5e5ElAKCAWA
U0avSFPwjyBOASJ0OphVCOq6OKQzf6vX6ms03xdZ2d7KoYzmOS5R+w2wOAw10JZlAnRTNk1yWU1K
85R+pC2ZH8lLLRlM0C3XNKaPZCYCIwu/XuOa7I/kpo+t8H81gUZn8j/XBCu4+lCC+Yj/Afq//tOf
qoKPNjmmIltXKDV/qgoU8shNTDJEklu6KdNg+bNVYv8BbIrNX8PYhzXgZ0CkRX+FDJKPP/bhovpv
OiUfg5S/um5rUYB8Cgc7TlmKFoqNXzslWNxZAfS5uZx5JDnbqL1CMlJR2AmruyguY908YRgiQMlo
tnQjDEKeOO4ukXyjhfpN2vTfAcrV7kQOE0K8C0EuE0KGIxJ+TyKvKSO3ySa/CawR4Tv69EaD4cis
AsUYWU9YxTZhZB1bMqDKWbo2yYSy5uLRIFTIJivKBvKOvcjFmLNPUaMJSQLMTLqUYYuHhrQpSZev
5zQ792QoDqRRsecDiTYnWKzL1mD3GuPo3kA1L/GNgqwZ3xySrUIn3XSN9kJU5XboukMRmpuOJKxB
r88hyVhOOW2cRfciUZFvxfJc1ifgw4+IQHYCsqEzz66UlpcJ+RwQRAKSE/yaJC4hD88ktV0J0Z+i
cfaGksQukrs0ErwatQKG8aNtHDXI14gvgRB4IfMLTr0bkwFGEudeah2fBIEbES1biUNpXoHyrxqC
EebWDaf4MiJVLLVGXyFlzGjz3TK3N7ndvRWkkEl2cca3dRxIJ4PUc8ibedfXbGOkl5GQeSb3IVhC
hzAW/cYSKKlt6DdksIBiyUbUWZZElADI3DB91Ur9xiErTcTI0QlJu+xJUSO911/ITGngobSkrCXO
tFdIXUOaDH2c1BlYgi7R3pyoOEWKNaptpePGNuFt5hrjls196Jcku1kfEW/1RCQBoW/RVIFLroRL
BvsbecvOCvBfU+LajySJ8CM9Dm+c2HcfC57+sfglulloW4AC8cZRyAcdpnZPzLS8Les+W1GFN2nZ
VYcCJJHX1jQZUKJrp8lYiHImG5VIhLiEqhWpPsaw5EZVVPx0MKdgRu+SQmnRjzlwemJl8YgaJnWt
6BG/VVYddLaceL2FoIhoTsNvzfk21gF8dg7T/FAz083SwxQpsXW4Y9Te200nB6kJNjzJ1OvYnit/
IXHCIHbWkdQ7SQ3fS1sjt16/XFRjozcp1M909FM0e3oWfo8X/WQn3aOE2S85NT3OAf7ffnU1YBIx
oyDOy2u1zB8AtpEkOgApDOHee5CNcQtU+lsUwUCTmwL0Rlv3PiC4c0wshmtNyTfMBZM76BxChwHy
Tqra36PKeSlm9d4wzO98fgH+TW69edYoYivsISInYcMoUOSR+MCYgC5ilTU+ubqXg8gPdj4+6NP8
o7fkQ+LYB70UKMGlPogj8QCKNABkWp/ncKw3RKtDke4l81Rm4W1RCRTETtoSgTYAttNxBOHafRrx
EPptTa5wuXa9prEBEBQVmySd9qGUbRMZpLSzDM9LSVZpht0hlq03MUxvkz40bjOR8g4vf6eZQJYs
IvoiBJyUnOrGrjLYmZq6DUv1qatj+nKIsurW2McRMs7ejJ/mSOOPS/p7HCJ3NXHyO333JkE8bVX8
h1MoQ3cMH7WImPQZBtKi9ggTiQHSetwFetf07tJUdwJguy8ngEImk/s+heGTlsk95P7Q4vnSNiQr
0wFxRl7ROJ1RP/BagukjiUMjKF5WOWGEkObwc7lxGjMUI1YqjheTzzYcKrKNppz8pBmEkJ1r+xEu
rOiGh0KWD91oL24mOdDX6OC5vTwdUyHfjlF3YRTiTpktGH2JyVEqIaFdJ/zdnKQjIfdUX3N63wid
phuIeT+zqqy/FSItNs3YRsKTylB3h5qCVwIUsde7eCOyQXcLGfuAvNCUgONH7FqblxvOlYc2na+r
vCVokRPRNdKP+F8zpP/VIgZdgf9ci9z12WvD+O+z93r9V3+WITisAQTIBKapqLkw4/xVhnxwqjWM
wHAeKELWvsGfZYj5h6WvfAEZVAcz21Vm/WdzwvgDCC5OBVoWzFfWbsd/UYdwFvw0seHCa4uDz4DN
03bkVXDw09SaNE25LvISUjVHRGwx/QvbO6KCFIiaPKwMrezRUDjfzWV4ihtiMQw4VF5TDFcYGfck
szNJNlSGB6iYWykmVCw5kRM8cmaLb2U5/TbIjIKkcmAVl0Z6bqN6Khdy2ULZjLy8rS6LSX4cF/NF
bfUnpyaoxoZPuQnX19SRlk2mS1JQj4IVi+XDovPmxlXyYNjFSzWX94OAKFF2LYYD03xo8BkXU/HY
OdJjWMwXwrRQZMSnIRVHaJovbQmEO3asq0YzmA1EdpDzxVzIcuZWVUum8OVzPmNn0RNt4c+u+O5s
3NnOeD+rqDOxjm90fel8dQWB6WOckZFhf6vhcfqIc45tl92NxcLIlLgEI7Vvytj5VrfOVczYhbWP
ZVxeD5XhOJ7taniS0+I97MrnsFYv27J4B6bieH3aREFPvtiuJeacbWEXY77Qk+gFWMMQVJmNIJ5B
EYOk8n1UnBN2984nGx7/DjmTeI1yZ0MmLj5ExTp2Ld5KPUSLm/kLVNPNXI4buRkPkePsItW4IRXg
B13671be3GlxtGVffsqjhXXT4kNykxy5AV45kp6iyrSGVHDg1yaSYuFMP4gbLX3gmtuS05LXN0nr
smo+6pFxo3ckqZBQd6dH6o9eNYf9HK//HCfWRtf6p1zqd20pcNMaJkGomPHoHCdbPAzPJa7/jVr1
Z1UYMguvlWG06AxX1iUiltKNbHF4BzuzrTuB0xX0kNtX3LW8U/G1GSabWKy59WJv6MC027CtLuIw
rw+r2QdfL8WVMS43Fm6KsSCEtdZrT19CZmkpi7ncTegzlpbzf88TZ1ij5NkLD/Hccg9ztYqCsVlu
y6jhqoW9icJhE8r97WJrh3hMNUZ/WeG29ID8KKNlP/Tpe1dOTzb0AdcyqzdZIXC7KEN6X3QBRjne
YdAn60ESO5mhji9ZaeHJ0BDNWd4qMlyBVpacHSG9s6sN9nf6c0d7AkpZtUkVMCPcm9E8M70ciiDK
J0Y6xoEgAw6qHRMdkzjZtnfI8mwU8vaWarnKJ1O90IsUrwpnoGifqY7Q/DQdH1UbG1/QSK2IH/gZ
wu5S7YDFBWZsaBszzOXizqJHSNp7Vy2EkMMgxOth59aVFIrYvAKQKK60eoqe8YoFbcYj5OrQAM8V
tr2kM0nYHSdXJmNUWA4czlqWvMgxpms5kxhY1bEWcJTQ8OmQTOVPttnWewqa0HTrGHKuZ8taRhd+
1jzSBK/L0pzqrZxo6lM6yjIDECzGrDOZUPzJtN7liAwTgpvnBqHHGJbOOnXQDRpCsWpFd3JnZe2z
Gg4RSkxtIVC3lnMzfEmNWOgnmXATiZ7D1Ff/2y6VDzaBirLgP2+X59fq9e+b5fpv/twswUfDFEHE
bYHB0p1VvfPvTr76BxQuWrsczFcY2y9ndtskxhQcAeEOoNp+6uTbfyBuWEEFGjSBD1HEf7FZci7/
tFkibwDHpGNHJBPVJMDq182yqdtcNwZ1uaxWIYGidkilHGjulTHfK0m9Ddfoccajflj1b3IfvsRr
cqg86RetEWY+tSapt7UvG/PJWIAjGqBikal17AnxpRlnmzm0rxgSECCs9CqbnrxNJ+c0agDP83Jr
R86uT9TLRC5012Yd9JqItlhnjniTyp6jtPJdMgti7Hjb00GPTpaZMqrkuODatRHMKktozVqNE2Uv
GyMeJNV+sCrtqlWzS8NhNtyzsQPQHLIH3ho8yaxms+FcY3K9jUYy0g1wrLMB0TnKSsyznU6HOEpO
y9JXkCm4zmwM20Vq1jo88iRT2eVSKm/+H3tn0hw5cibRvzI2d7QhsOMwh0nknkkm9yryAmOxSOwR
2LdfPw+sqVapW5JZ3/skmagkWUlkLP65P6cssF4jXcab1k/0FjW4JNQWZRujHAjE4ydZwy0IkpzG
4Cr/FrEXsPXSStE3u66qIUSyI+wolBm3rh5v1ZDtayk3Y9SSwCOEVFu5OBiTOpl6nhyFxvonJz/w
ljlgmLnnIVMq8AfnvhIJej03w0CTSOaUd1kQZBxSsx1xkdl3VnZj5wfPxZGWmYxgZAvGIXxpIu8h
1aCZJpq5t6bwHTQUU0cgn8ArWJCYjIMak0S3LBAyMbHQKiv0B/p80AFG+4D0Pq6tqLwTIt/DmHaD
mLlCEM2k0BRlGQdn6Alt6zT8kY7YJpIm6TlOpk0V0lpoR9lbLSQ41Ir+LPJzxp1fIc/MdraJbS/Z
EaiM11oryI8NGATQbYwCGHUoEZM0m4sX6ZRB87JD6dnrcbFz9JZlrhzDTXetsvNqX5OewYgzeNpR
OPH3SFPlxgsz/wiThs6lvD5QA/HQ6M6yPxp7SyvbAJPNpok7e9N7cu31Up2kVy8GlA/FmJWtZjjp
Y/+1bCaXXTt56gyapxPTN4M+LL/2jadv3GY+d3I8F4VuBbWX3s6t13MLi3btYF9JNvAp1J7aQXC5
GxZDCmlLJ7IuLoYJbkpbO0nZaq0MSSFrdqlrnHMH+jpxsJe5DC+9nj1SA44fww4PkVHZO2TfIkgF
o5I6JXqdxPLV1zM6ZzXMRVG84bh8JXM2W7sH9edq35MweVTahIdUI2GRGvp3MymfKJ1baxEdhzU8
/Ne+tjea0J4xPwF0bikCoYkcvqqT3TqZ9dKWsHnJRLlzc5rsktySdcJew0xZ2ZdRKeOKfNsu16t8
U7rOycTcgMDMRMyI7/qIY3CWTC+G+5BpG2vyTmWC9NJz0GLHrQNZag9J7wom+PktOHotMFSNRYCZ
vNOFgdTmm5hquIBjwJouq3WRpBtNc/bzwqZvQ/rq9BquKuEK/BX+FZaTg0tYkNbaoLP4qxtQZ3t3
jHZZMb/4Tt9u26IOHG9f2XC6cy2NkLurczfMB79MvgEkpwJSiDVyhL8qk/S+ze1vfo3G0Y1oGrJy
nyKtlYEoQj7EZBIZg7QbEB5YHv05H3eNhGTxg+T59wVV5z7573fc/y1ev6v6z3vu8qrf91wshS6k
bBtOG4Voiznw9z1XfBKCHGqMdAwm7HY/76fYBqE9IZIzWnd+tC/9vJ969CjREMomzcwbS6H7V+6n
lJD/actlt6JjFcc73FfbWrbkX+6nqrTnzJ7C5qLn5gMVPfdGY58w0N5mI1cA7IbxMYLYXAhrj8qD
crvMdsJlytOOXbjSKzRyd8IChMx9R+HDHOATFCuyqQ4cGMEQexmT+XwvSX/ehvO6OPhRbaxKSNv1
MnWapfJo/BqvtIqJVCHTMhiWKZVGqeDaXSZXeW9ooFiG6lpnrOXSGnzl9rM8p8ZnjNao8ETRP20s
A7EGldVbZmROjOo21/IhloiQgHywdtXNoWKyFnrUAzSZYLBqFe8z07ea4zHwdHuvmMtpy4COAD67
LiO72Y6+4WJIVxVUnaBmrifrQyrOYpn1xa81BQl+tFeK28iwgMSqZThIxCOndHHM1sbclJuSGeIw
04E+tvV3KNdH0ZYDvkD+QeBRDg0TyIlWJGSljcZ6zXCSLezFZliplqmlP9nQUhhk1lF9kyyTTavH
qaZGcaHMaJl6dhuxbEFkIwlpR1FzcJcpKWyfO2OZm/oMUEcGqY30ulO4zFYTEYutscxbG7dn8urQ
816GCsP8MpcNs0HgzfLONNwepi5hh4SNlnqSiX3DaHyZ71Zm4QZew8TA8YtxA5oSEPoyEY5a3Qwo
8fvCHpeuFM0OlZ6ikbkPlj+/AlqUuwK2eUsnOOoaZDMDBjQotAWdVO7pGTQChwG1Kfi3zIysfZPq
0SwUUr8prVbeMz/hB9cNKq26zFb9lgA6OBi9dsMD/uor5G9KN+QxzsTXuuqv6thfqPlWuk4G8x0j
wnuPOXHbtCPD3cYL95wfvhV8RKnqNOIgSxC6geDdI7o0p8LTjxRTPJezf5orNHObEkg1aOdqgtjW
6HgD2oiOJpWFw6pumus2nfn49A9xFH6rYtfbS9MfUWaK+3AmTDIa3ZfKdA9ZhRzv2eoIIjTHMegU
W6/hNBHZCJN6fKTzkO7idL7new7nCoJfAP5JbdrIYUtKZuTpWjL/95c/3sj0WXdCZy1C60ujUnwp
c0e5byPlsTE6csma64IQSlCRmxyT3dior5FOq7GM4/omdWx/NZig9CDrQRwpnuhwoiKiJe7X04jS
GChXpVnKTZinDNrRafm0t7jTksU6kDqcD43uoM+efqg8Sv8EgBqH32VVOea0YlmkiqRobpq0RfKp
qPdqq32qORDZmVmnKXHgMtcEnzSLYyOSMJyJ2KUrjOImS6Cq8l80y75J0YlV0z+KMT3ZdXdUJskg
q77v3R4xuil2tGkDRyjCGUexuO7H7jFRuFew9twUVnebRcOTl+HgLeavTWhRRo+BdFWo9MnpjaM1
0mjQNA8tV6RV1ZHV0zEUrvwcWZmSZFev1baY8MAY9XgV1uZtJqd8A+dr4xrl0egg5kxN92HZ3Eoi
cYF6eK315U2VulXg9c23EBYaNTPz1zxuTIwDHkOYtHhpCtfAtYl23hrlg4qt09JVjkGPp6YN/Sl7
MrvU3jOuZCoEtdvYxGqkYJqp+efO9fcWLv7jFk7b93udvOZ/3sSX1/3cxBfCJ7A+vNM2kJYFvff7
Ji6oXOZS7SIif7rZeNXPXRxgH6w+fdlgEQIX8//vKjO3bfjDnguIhwsMwYK/sosTa//DLu6CHwUc
x43ZgNvj+3/IvLgxVbejVk1Xo1lipBGZ7rlXpWuW4YcOSM7WA2Z1LRuQyQhpxhuNFiUZvKYoT46V
3YVGPKw93GH7WrA6Mn0z3iK9aQLlh6+1yO6zMCtupoy7eDU7xtZc+tk5oTRXynE+4hLPaQYVaiVk
w6wE/CUXD5xJ3JxdzC/CPs9dUxw0Se07zms+OcEI2yJI06i+LhEdVsSgz6nTZiffSeS6KYdpW9tU
LLRc81Z5wTWz8EW9cnLhX1v9dERCOnuqDU8QvLJtpnEnY1QLtw9uPpUiHGm2o+/Ga3PpHa7MMQsE
AYV1NebJtvIAdqB0PueOuJTOKI9u3D1wK9PXYWGptUycEtFs0q7r1HkbJBpfRRxhp+z0Y07TF7qU
UCesXhQwTdzwXFrp9FgXLbXWNIxEjakOXZy+t9FsPBus5rczgt62d3IKQGgoSlbTMs+LfMlgXsOE
7Qy6drTKUT/bQO52SWzYq6junHPturceHqn7QuSMvqYHrWQ5U5a0drqnbl0HP40f1hgEdctZsy7Q
JpJx+LJ0tu9xyrSziOF0uVMd28A/ogNFHmZ2asNJtLuo+MTAznXt1JeYv11vZFlyNQGCsVdaJBAL
g5TvxC3f19pLSS0Pw0XD1exD2U7LeLfLE7bdjJrhXvqXpJ84CqrZoyWbpdsMLz6F2UzaMQf0ws/O
hvLXoEvme4aXlAf/vXrpfJzJq3y+ET+I0H+qjfuBIw3qbv7z+rW88uf6ZSyOHIJIGHGBjn72sv5+
CTFIL9Gqzg8DOfyp7v1cv9zf0AM/s562DT7419445zcPjw2EdgGk+zPy9BeEP6hAf1i/cOuwbhG7
Yh3DmvNH4Y8hFzQcz1tmVTg4udjXHClyg2yA/JLUJpGStF4OIjUeT4YVHBXaQ2WLj17pRCqKYjgO
eWuuihiaWat3+wgPHUEq+Iw1e7iSAHU6ck6pm34bwpp29h7rTC9xrVHwKjduYXvIeJN/Ay300a6p
WKoGji52Np8Jaz9iNMDzn3wJU/OhoBXhwhGHecJIbXm3FJjTyJUcixyInYXmllHP5mVEJJgNv9Mm
320jQxseZOXvudCd0nKctvrIUb8Z7yoxoFBQrZBr1XWPqBNZ1c7WG4JbNqqNW98TQGHWP6mrxnbJ
bbXmLtP9mNRT8zZh4lipKOo37jzRRZuEhFyqe8uftuQdbBDP9aqp6+TQ5+6LEDgzh3EgNF3R3D0v
VVOQALux2FP2g54PSWid12Ac7PkujOhbsjXBW9Ml/SlPKFgv7OgaBeLoeyQV0pzS1lb7nqY58/cK
DGiEA3aYhwTHIxkyrc/AG8bkf7qZSrDcu8HMizeqFXD8mNm0rXmH6eRONd8pNvlw+Xbd9JkqIdYS
i+Y17qQVNPRogNJsOSkSTTCXej52ppXK4ezgkKX4YmoWy/Udtlp1UxXiqhrTcaMDDYNLueSKeIZ3
QJgfLGhkSLb+mnLLxxLt8lj1KY4jjCVOFV7rTQlHKsy2YZKfGtVSxqvWba7v8kFu1cgFQtjJF99q
LMiLBi05TRFTZVVt58SlU2n6ik1la8n+xRqm8lCY/R29mTNWyeGdnzxuRjPn1lGJi1RUtlVighDr
mSuaSq/8TgvPvVl/E3UIeKMWBiYNLKqxVribyu18dGXJAVSfwRsSn8HNUF5HvUadWqSaW47yrN3u
hFLLG8QSbTved6/0hmNvmysvdLd1Oe5bkwyGTb+gGdbPvkVDOajSvZWV/AhEIww3+3ogVN/ZvMUe
DnqtiOdHs1RsJgZ2NLN0773KObVies/jKluLzL6jUy86OXO/mYueQSLmLT8lo+9gmodQ9j2dSx9n
k/t9dAmrmQz81nbvU5Ilmlvgm7zF9VXIQWXt1kN5VC6VQ6hr6LrWhnY6iyfc61bEUXgFDXHkdaJp
m4rwIy/DGyCSHSmXVseZ06G9dRZ2pzk/VYbUNzMEt33U4dUHe+qG8jikRrMGYfSc4tzFzN6259jS
QAAPtf2u62H2oHSunmQI8MqKPEa4+3t3+rE7ERP59/LYffzatK//Ymf6NVwi2H58DsPGcrx2l8qh
33cmk2kVkwC0s58mjf/fmSzxm6CwmQ2L7Ulf1LPfT9aUnaKycRJnKMWpB1beXzlZ2+af9DF8InwX
dkgb26rns6n+qo8Zyw8vc1oidNYtjNHYp4Q1PPWug4ReaZdyqZNpgDZnORfXekK3nSKkfVjtWPc8
KJXJFeaQByuTeSBFxXjH5FzbRKzcnrn38m7rtOGmGMV+GPhPxjmrAeo00Kvnxm4DBxzpyoST3IzV
a+zi/Wi7d8rkNgPORJotITCKkmXPenMsqsEmUl5mozCEJEW3T8t6X/v+qaGEVGHBmw206UVpEXZ/
dgz16A799WAA1ZxqK9nFs/Ga18SEdf0rlk9764ZhF5QAtHc1fMjAx526spzmiI2133pheWoNbe+b
tKHF6X3YYw4cTRNuYzneSkGjSuOV28Ep9H3BL3eimwcurTfwwZRc61nfLr6Zf0djKneTAdcwiRiH
aVP4UOeKj3k3rnU5UNbWpFeZNap1EhnZRvZ0m6Mx2oE7qomVz9tgzzjGdivXEd1BrV1rx6KS644j
cowuTq7BPwrQvivXbq/oa32o4m5HhPE2gVK76WZtWk3FgLHL+xAaoWINpWyMITlbnv+cpuIOlA7r
UgjmsCNVGEyO+TAXyXMmq/WQs54nXuZys0rOFFGd0kr/aJrZ2aczzdRG0k2buMGuL0LztmvjL3HK
7x8xusBrrObAIQTQOdzMSmlam6LBdpxm+GWpqY0Y8Sz5lqkVDqcPfo4+NkRtfO4AMv4aTsXdWDMh
U14JrdfsdlEEF6eS7bRqYXuuh5TXkTbk2F1k1g4TEtkIb3Eb8XdvmHqIsQIcXT6LLjm3aXKuEz85
cPT3AtthY7QMqJJ+MxlBoZkINW2JdUVdy9g/g2V0ObJgeYua5JoG2ucqrbhZ5dzWuqRej6SWnIFf
FDAfhK2831dCvzGMhlrMgay4CE911B0aWT52Wr9TjaRxUG0th7pHaqeaIGp6n9TfsFz5uJd5ev91
rpL3BnFQS8cdXbe0sssqX0lnwfDyr5rcG1UNbZD5/b2X5USajhWch/4q1JLtpPtgwOVF2PLG6GEs
2/NF6xxMyVO/I8durjoq7zoVzwi2KKoO5xse0ISAkBaHq4q5pZJ8UwB8ZQCOugC+2MHE0vuPOEPl
pYgVpHO5fFSz5tuI63CgrdRNxw4AcEXcvfPpZ5T2IRaQxOfQKmqyIGay8qQPVFwbOa6OJp2ONERu
fc2jZ700qPWL26MKsxRDqfW9s1tgp3H2nfDNV1Tmt9kdUpCSXE8jc7iZOoRzyiSwa7ZOCyrHIKJj
d9KoT1QatyfWHo5tXokpe6zQ5GXRHmxZpM7W7OBqPzLK87xdbNVi11lYeSE7Sm6R7ljPG69jwLzx
pGaNq6o3TG+PlR/9E5PXnFxrspi6e18vRHs/+LVmnrqxA/dlyzz+Ws+W0V+yttyriMNfSbJpoywK
xZPEjlaVjiJcR3dNaDJ3zcajZcluW2s1FmrNOdnumKwZrNDPnDtvlVINrYgO08bU+pppDhzrnjyV
0GfnaCoe5kzSosr/HdKKrV7K0HqN09pYtx6gfLjXHziZYWjHisyuHCg7xjnHXIEmARpPryYKbMfE
B/pTaleWrG+1sEP/VS99MnzMGrD5EZtpI0aa00ubflJzPMYwB3Uy6b5bviaZIoaPDNwadrwxkYw4
5UJXN9LrsPHPWjpRV2x8zELnu0T2R9YX+FiTtTYfjWkktGvXmzCq77KRpUdfQjPjesxPeexe6VnO
AGBUrzDrDrFp0uZO3WxQJTQX8TBeO+4CC7B9biIahdrsmOvBted1MnZX4A1PGIDCgHeh3LuyYp6r
9HZnWj1ru0Vyzk/cDQlFPkuh9tBmayYeX4y6ITYEYZxoAncqL/MHfjim3yV1bc5ggOeRnmyTGALY
zlFdirGka1oN55KA3crzsGFHwr3QD3vV5W4BfhFBQGKZKhrOZu2r4w/TBvXgfuLmwwmS21nos4HY
KaXFHWV23SC/qFwdUy3jd+zmr13l0wHRORbPwKxgHBga45j2vfH9RxborV7m56yI6XWNzD38o8eq
Z3CfuGPAjPfAfe6Gocmdb6tvCRsd7HX92tLbE/DnMICMEJICEUtSrj5EGhnGqR0ivHQYo+MsO/j2
BMgykkHqGdWusZMhSKyGzoHuhpPIVhotCU384lnF0bpjljB1FpE4veg3uvAqSiRCwDcRX3W5qqyd
DPS5RkerY8TeoeUNpe42v+gYzlae2x47yVWwcvwjtIBHOiL0DXUB2BA7Z6slc7TTBnHKydIF08DZ
mrKX/BQJ48YRzMe1Bh2mlXpxmI0cZS1kPDGZVRikLq00VnKDg/RJ0xU1ANLDY5GELHD2sJ8Lg4+E
7d0YNTRVT2DsdtT4RhztC9S1SyPdNxjKbyPxvLJxvqos+qqi0lm3mF3CovyqK29vIscPnnGCxhuY
BuZOPY+pdx1eoyLfda7x7iMX4T65nYWLLbzV76W1LOKaTZKijv/2gf3wgS1T2v9w7Fb5q1T/4tjN
q34VhOC+w6SBbP4jh/X7sdv4jUg2pDOLVpjFC/0PQZtMN5EtPlkmGo0rlmDXP8bSjLBdHa0Wvuun
Qv4XBCGM0X8UhHCCAcF2yYqRKnc/nWK/jKUtr0hrPkfThVFtfeOmnHUSUbpfVW4Zx2nIsmc0THfr
tb1+xZU7BHPXx1zS+/nJ9Yf2PtZVvgNqkZwcIDYbV2trMi9VvPEq/TpfjBi9KcKzbfv1rTm2vL5H
RF132GOgYnNj1jg0jsZc4fGkCgAIeUZSQpe7VOLx0Cf813XZjC8FU+ajquKZTg7yjlw/J069XsmB
enryjSqIc/N1Cgv32HEH2rZKG04yo1mdQTJzOTrtscXol8zsYGUmGfXzTpWt4sQm1bEMt32zxRCU
zsuamqbv5SSWGKws1pAtoiX99ByPUUj8qQ+SrDwyUfODMZXZwZh95sGWa9xEIsIGPR2Tzqy3Vilv
bQVJH5eYtmudaAYB0ZnHONbdDYPhk4A0fkhay1/rcWztslxam94wQoDsvbdiz8bsXDC8DlV/O9eY
g0pGiitMUPNKs+0N3ciKBdi/Tkkvg9bh3dE6Lb5LhpIK3kSIS0O7znpyh5J++OZICu2FUrIRkg9Z
HuTIdANW/hhH1dwGYc8fjKWuZnyPyS3E7ZZiUJ4W+9uID674NMQt1rh+McmNuOVIrxFc0SPmeouV
DvE+yPDWAdK5hXRkgi4edwbuO+OTtGItljyExgu+rxuFV0+PGpcjc3IocfGNi53PxdcXLgY/Z7H6
kQKJMGBxCHRlcWrwA9qLMbDBIdijPaJQYmPOFvsghquLi58Q7/+ux1+Y4jMs8RvGi/FwXiyIDGxv
pjDdzngTixnrsoNb0bfgBM2Lf5EjWImf0SNCveYmcaKfhq/geSyM+pu5mCB93JCjS08S7shqsUmO
II2ooGA40X56fKoMDSwwTKd7szxoBcyV6ngbqvHsD7LkU1Ek2Vngje7AF7HVlj5t5a6ox3PkGMnh
bw3kUwMRhEf+/WJ89fodwsafF+PlVT8XY4IqAMKQvvEAIYHYv2og+m9M9gjdm6yEFMbwpX+o86yR
vucxY2Sx/lynfy7GxFscgi9oKoCUeUL+EnUM5NYfF2MPwyQ0AtZinXHm8kv8qoFgfpwaoxXRhbK/
rTsVPF/N51y9vjbb/AuP6apkKSP9MB1drqU7WURXuer2uhDAo/oqGHy6KU1yLcrNTyNDxdXsp1cy
7nW6v7RbmUDQapXHfajIn4i9Zasw8bkAJuWb6Eo0fQ+oIYbXXvTPTl58iDTb2EaL2zGKXxw/X2v9
ED3hQtBBXGSnqBjCwA3tfs2vrag+SK4VxeCcSI1nTqOkxhNuMo1pNeuBzo0tG8BHPzTvZm47JN10
Z+MpblNFndyrLL4dI/k668MTLkV6E50IA6WdzMgO9tF2NHvdOYT4Sz9m6XfVN89O32gxumYBcoi6
8U/s6ibbNKW4AWuAch5dqXI+pXDadtQg6usmMW7slLJgaYJVSjBoDF47Bjlj451jEb3om+EtbFK6
ebipUxXj5ds5tiEn6elD3083SQeMw9SZrTZAAc5D4d83BU7EQuD4GeptmlvFWvPnU5z7x7gdT6WK
9cAFtb2y2v4QCdxZkcJ/RI2TWqnO1jhlNh4LjD4/NpmSe59+o02HFyugd8w8MmRNt342fuegTGlR
H4tAl3oEvSf1diYe100ZmWenEofKQgIiHhveThrVjSAj/O0U6Tq+CohFlBU4gexkfKscDeIEZMjE
3aq0epn0ct41kcnwt4yLbRZRqF2W1taVdXWwwn6iPSLEelPN8COku8qj4o3bHeTPRWzONavY5HK5
QBXhS+4OGGso52aHnNZ8U6IcXkItF5ZhHfk6CUW7WcrIj4ZR3XFQj9euAR0sHW0eyM61GQ9Y5r7G
NhkgK7/R1mWuSiIfbHtWDrhJEilCHaLT3oC7OXlXbsH+6Y3Oe132igCJuIaqJQOz5VG2rXRcRz1m
9DKavEBozr2MzZfezSiMAHTG8cHN920zcsOMhnvksOYQxtMbaTXklIKkRhZJb60TRllXBK04lHAp
t3JrrxX2s58a3/RM7VxtBGM/NldaoZW8zx7QuUGu57j6NvnWxB+fEqq1bHznlsNMax0XqoNNTtJO
k81Y02RpDu8YZ76MEZ95g12dKiUs3BMO8Qmw4I07FM9sIpC/PdLRYQMKsLKnpzFy0CzDgb6GhAvk
ADWKVoopyDL1hQL7YTfkJg4ihfmgJgok4sg5YdKqVhiHkDJt+TCr8FI75bkbmRV0Sn4kbXVvmKBD
DO/EIQ0HM5i6Od4ZWXGMNbqxUokXbkoj4t4dFSe1dacrp18Lvu+2GmmQNumWwCJxUG5kwPvmF8ex
1wzWSdf0D4djJAHOZWmyNiospiNu5FdDJ0n2GYmqxnYAp9g7Rzrutt4YjWiiqdu2XyTZWAKgcQlL
KNZqdW8OXfOkxnF4HkODmjZHb/p6byae/RJlyj4SosujmzzKI+58lWa9hOyz4VVqJ9mu8LN23fnh
FxFb1IqMBo9GuFyKeV72lqITgbhwHgw8dxsbNBdJAv25szpa94BziNDZx8681IfAnuNSLlcce2+9
eb6MssPxRW0gtLjiJqcj4LHD0LIpyoTlCZlo00XpR1S7t7Wjq7022NspaZiGYGEMXEZ0pt9+L6b+
qbLVvOVTvPPC+mn2IR2i3tz4VnLqMhoUylJ/FUvtoqIMNh2KOzGIPGjbsNlXuZbwrIWXKdMN5Kks
w2CQjtCBBpEdpDKoaTPlKxhLdBMDIQ5y+jnJ0m+GN7AakHd2ja2EqLSaPYrcLIvPYY50Q8XDA6lf
ggbYUnHTYbmcd0nHrb/3LhETu20/pR+OGZNLaw+hZIbo5slGFBYNPh69L3lfkSYrhvtiphA2Dln9
6qKIttKkDW/CyY4fPdmQLfvM/O3MXhdBMVAvSePrXZLaPgNT9xyW1Y1qdCafAwIgkEcEZgOMkCjW
dqRtKS9pAt+VJD7UjQLJopEbCJTufEm9/i0F37Yb0HmGcqQzb2xPYTl/sSu6KcrkgoxVUITgHMsQ
hxgK3zahAqpsvBedWDo8KxwWjsaUrivEWZoJih/pZIxpXIXce9dHTxeG9e7AJdgOM4ut6bWntGAs
W7iZw/9x3GL/OFqtR9Vfgg8zqd2D75Cc5vKIP45iMi25z8MCYAhNcBX/Wzude6U9ZQv0UociWneq
Zbnpt4WI3lMijzZuTKXx1bD0Pto+/V424lQY8e7v8+SP8yR34f90nqz/FZllyWv9PE6S8jItkB1c
oO3/j3L9frdnpMblHc4rqWTj8wL/8zgJmcUgJM2kTfdt7t0cAn8eJ+G1CYu8GL4MZylD+2uRaMFw
7hdMNbaRpdwW0xuc3SUbbf0h5QVlCiOIBqmJBtanyuS8k0+TXIqlaIKdMcJWzk7wENmTFlCE+VSo
JdXbMQAqfOch9awrU7WHIk03Ve+Fzdp1C+lvkngoH3PlCyZd+m2k4dJuWQh9bNip9s2gpBHNW5h9
fKIQqBgpOdW51DHU29PKmWyKLu1udcktlV65+yFzZlyb08W3c0Rwaa7LmEFGNaqHadKecJU+mhyJ
VrrBmkzW9+Bo0yVOvKNwzfUUN2/1bOIekcMqSvW7MjVQCbUno2/A6JIiozwlu+pL3CxdKD+mGrdt
TLkSntRoTSrS5Gw7XrACvFY5hwUb7swaz9h3yhxn7C30afqjt4n0dgg4yYktvDE3JIdmTYdhVFpA
39NJADcxwTV0Ij7NnRsQYHKDvohLFoT+VPfll1j3nzXLVSsvx8wKKJcynKcsmWcsBvNjW9MZ2Yny
WoQDe4X6MHSxpsP2zu+WE6lZnMuoOIhiesqa7kT8/EOvOZLq2kTnlWliyE1AV2pa1gKqyvZVo5Uo
706gTYpRvaF3gV3G3sWYyimYpyoLgG5RFIlxv/VxoKsUzGShT9qG1i9IJbT3BFjM3+hBPUpTTDuS
NRjcRxFIz2DFMvcMcC5hjhnO1JPpCkNkVTIccrpi19q02a3svDggpgTc3q/akTmVqRhHxrLfWnr4
LYPJkeWjtrKYOqZyfI0cimyXoZDKfYkDATJF3ANGNbVXvY7SgH4p1lYibKLx3zFGelceb+zG05tu
a3Sxc84HE8ClXAw8oXVttIU6CSNa6CR+up7rbg/IYw4aJ7fYhlziPIVAEk5aeHGVc90lHouqdUCN
edJte693xtPQM0ChJlBf054krs3SSM+lZHQYMV8np0YGN+xT5qUj6GLT0sLdJIR+XY4mdBYqzvYJ
qrOP0WEaomORNeFqrIxXXK32GkdmciGaOTDjtcjvFeTFGwwdU5LDKpXfpoY2sT5B8NVI97fZJor5
e6bgji4k6pkoFT9W9x82tpsfoKb/kl1xo7A0Nv/z3/9sCMNbRr7PBMSyxF+45C6pmV+vnKUJ3xq2
h7jkBfTX7zbTzOKHIPFXfoTPbdu08NgJnTLsf/4RUxmNDfMy68LErstupvJB+j+KGP72VC8Sxb/f
o567b/9C8Vhe8/sWRfKJdg1ch+wFAl/uL64P8ZtD3SbkMHSNf/Yj+nzFZ19zdXQNYlHseT+3KO83
H6FD+HxJ4KbGqvgX5GeQZH/aolz0bTY7Hj4ewj8+fnmLXXpUo35pU/WVgbsNN9zUTgY1yRzwRImG
Oqg9FjX/esyoeFY46IK2sY71EjgYJLPIxPIJ7NQYjiwv44A7OLueVEnujeVVPWtB2evAkb030UN5
NIoBwReK1Awf14eTm7glyEJgEV0DV1z6XD3dwXocoOtaZCofqigCMFWWb87gnVRXPtbCKgOL4DHx
zeotX3C9agH3cibdjwvKN4IiJG85Nu4gm1s3mumcQkb0m3bQQw61Gu1XYun5zCtUyfbV7aK3sOD8
bUxYqiK8vQdm1YsTWrsDBZrf+OxPq8KJ/RVdmxR3T667Dvk4keNkp5ThdIMHsebya35vEuc2tqtr
r03wmsXZ18QwH1rll2stNd7LzB434Rw9YiPeJKjPHTP3VTGLfVj53yGcSLoZ433mYyrR06VE9rmQ
0Smd/QeBhXBlz6Q4akN/+D/2zmM5jiTbtr9y7c2jzUN5RAzuJLVEIqGBSRhAgqG1jq9/y1ld3SyW
aKs77hqxjEYkMoS7n3P2Xrt0Ykjw3IQ2xDyb+pyy6eC+T11DVLzTvLgDXKmGLEIqVQb0lrh1U0vn
2B9dI3w0zPvJVj1ME4nj8H3Yz8qDkPmNO0fHfiqCvRk3d2gG6sVoC3xhddZQqFD/S7xjIIRWzpxQ
iWtah+TEMxBBem3aUJcUdbbGcOxePKOctikb1qKX8V5HEIpavP40KqzJ3uwEVw1MMhunDRG5B5Y1
Gd9SmruUaZKudhgb3k0a0vtmOEiDLAE9yZadbHKoDAcKzEuY1VAoUvcyaAVVOLxcgmsLwuOxIjc6
8JXauCkJoF525lzDmkUeqlNhowYi8xFEI+217k2W4VOSJB2iY7zfRkjTQBm0moCLm+Y4092GGUs0
UXMWHxlSwY6R0MHKtavult+skGTkcMRUPrpwIDEribY292jf96XMDmNrE11pXiY9uVgmziQvRVoh
ivhZDP6jnWnNjlQAkuE157FuA+KtdYP6yiAa18XRVFWKICnEXTa1BzFE2yqJ76IoWMsufR1E/cE4
p0Dpj/Zqavobt066Va1EJIXIz7bLxbUt7dCnJkEcgnyADn/NKofTh2L0C6Ync9W003NJDbrodXLE
Gk5xRTuTLk2Sc+LPgkGxgGM7fIRc67XEX7HMJbaqwihfzLw8exyjpFts4tBssCL4X1oxbJwaGo+W
DtWSbn3BPKIjGjqpwGqRXpBP9ldlxR4q5GOZG58qvzaWUZkxRzAMgnabNzeujhmwbT2Zn3Riyvn9
UEArfe/gge/LwZcZ3SqY+4EM3eTsVqo7MIu7xjPfptYrL4EV4vhDMnDQkknbFxmksbyPTn2CWLjT
PsMyuXNlTg0P6NQlz0C1nBx+yoxxYJfRF6l9+GqxqaX7LDOusTDyhWtaKBD0hrlP4SRLUrPoDrlp
D3vAuWD9plM6FOnKD1Nid4PxirMb47ItviCN+2ca1X/3WZva6c/32YeuSLss//z9dEH9u1/3WqYL
SmDJONcgUvG7VvJf5aD4B7JGhsAYlCXFH9vwv8tB5gqMeXVDKqqWwQHt173WYRvWlRYS6DecDrbh
v7HXyp+0/78c9VD/Sx0kCRu3mjf/eNTTe7vONDT8l9kOcX2iOO4LezECz5lZbjY9Neki9tOzVeL0
sU2Ls7C+jcr2EnbanuKOqAMDuSFYW1M/DE35nnTWK4GGyyRvz+OsnwLP2s0hYIVEK6Zl6ASvzZRe
0UUka5ll4Akk6WLhVC38FBTNDPjmmE0pq11Cg9zNWnQoZgh5tnBpsWS3bggZyitYXGdgALWXfDAD
2Ji+zoZXXMraBjHhxS/EByvRmLy4Nu+O0SERJKM3uiD2+yoLnLE26i5Yho5cRn2iU+26p7YlytrP
Hsxp/Jys+QzR8INsxodhosXF4GBbyO4obbUq9fJiF84hbVPsNqH9aGraai7atyGUG7qOPXhRjWws
z721vPqYZkA9h+QmHuJNSVwwQm+U+rHDzqXX2rPHxoF1p4ScEp/CeubNL6ejSUtynwOvwE8165sQ
n+9Gi723EWiW3XcnC4XlTVldRWFusiRaT45+IW1+05nj3aT3izGOEaNSxZp6CHpEe+kt/xkh6EZ2
rOVePzDkTrOPaOoeGbcyHp7ZnzF33kw9l65KqMdHf1w1icyeKmuP1t9tOTHRpDMrp78JBIzVgboX
KvawnLr+PpziNX+ONpFEP9lW+VPHr+EzKsfVS+yzNRRbO2Lvrl1izNFF0b+NMaCS0RILN8XU6rKG
TeZd5CJfG/yvVsVkJJLywSrknYYxcKm18uQRBQOwkKz1sGQgFNXhnQb+wo5b62QXKHDGKn5w/fyL
i7or97MrtpSvVIJPgQdrApshAGe+1K70deotDSwWI9lgiTp2Y1rKA+H4S2BxhANG3Wr2FPQ02QqL
hDXDTNd5NyKcQifq2mDPLQkIQzjlS1Fka09HAhXaXO0qbSISZVAp5CNRJmaD50VD5byYx4n8Sfg1
Zxwjj9WM9a/s3KUlYjbJCBNuNJISknV5t0jr4iiKMT2hHt10bvMSSefEsPKOfmu0dCIvW2r6PG9x
7Hec9+gXeFPOk2kab2Ve3bs9N94eAnA28w2sHlJaNH1l9jYAVveuG/zdYCJy0n1/74B4W9g89Av0
3ptxdtMlNBYLHUGCy3sAuxZX0E61eXoPzLlZ2o0WLFOu6KIlJqLttZVI5BrgI82NNIsu0AC3ADmz
9ZTcaegDQ4VzDOZ3dr/3tpcPwdg/JKkOMMO9ZZNNlsjqrOVg0AMwI+1pcrV80abOOqThH37v/EcV
6DcFSOtsKvicAQH3dTpYjb0uGEstEhdEt6FZn2rkkgrtPIqWw6yLoZ/xynsxR7upbO1lITOs2k5U
LhBuOYupLkhQqug/O0MBaKfVtz7iCTWy5/fpCV0amH4iQdG/GSlstMlOCVq14Hm6qXZXdeKzyXgk
LJlFGCicx7Kubpo0hDOuW5805C+ONmyaGEC/ZtBngHhnbKQeb5jr1SdfR+KQW9xtrvixyvnSKJr7
Zdfmr1aWFptCYw0OItcDoVpb2KiDnY9Cd1fo03slo2LrsTRaCbJfmKBL1CLnuQ0vjQpeocGIyCMy
74c4owdmYc5pBNNO66GcWSsL/V4P4M/jFkTdUjjvAZqPUoYHgy+3GiIGp7boHjU560s/jiqwEeg8
a5uHmrbFay/n17qt7sLGAp6favRZ9E7BhxPmmd196dJ5rxPur6kVK9esYfNgA1kEWf0R1ylLBRDb
0Luw0G2DKswWhtU8wG19Soz2ua4ULSLpnoEViJ1uDPpKCIMeGpGaq8gN7eUUorgtggqei27u6ya+
z6W5nUswzn6ivw4JAlEvjTc20Uh4JxNlXCKGrzaeenkdmsPsvwzR0QrNaw6tj17oE3SAx8jMuDXY
P2VeENeEbqNM9WYnYvmps9Cv9dG77SPJq01jZ6fZyDUdmD/r1Ik6ak1rVXjDifnSXe8ZEA1Sll/o
RvOk30MePoYFYYCwX58dlUogqvZQtTe9RChuM1EOnODWQo28on0abQ1SmpZ2HT3r07xN0zo+wbjR
N0Cnzt7kaMxUumSDrxZyh25SWJQud8vP1kMZHGzanPS0XPRQehF4FTJIE5jRWHwSdRGeh7xdWHC5
Mtt5jjmGbus2wuHVVvN0o4dMUMKG++xMqOcDl5AJ9NeY7JqD387eRcfLdxGzNu+YNlr7HnZ3Woeu
+45cedrOI0ZfjMjVms2D4TShFhlJCUaJXZXkBAlhM4HQgtyXzBmttghOckpWCBW5YDXaLiSDwbIa
hUQQn+YkPv0J7seEHnMKR1KftFVGjoOBDInwB15JUy9WyZh+GSPqUztgHCkokFrfZHkI5Es4Zj3t
tzZeD2iYOCajijLIIuo1GHswiAIudvmBRl23fDVy3mkaeaZMXy5miVY3Yp6zRPT7yOVnFye7ohzj
Q8/RelMCnK4buY3dBkOV6eQb+J6wE0FxrUhChgddDS95C+NoTO9ta1rJ1H7MPKr6KkZjNCf7gUiN
OkqRw+oZWuBxo7flg1NYX1hcb1ukQUuqTIbRzLhwL25Y4PTtYCntr96g/sfA7FCc5xJNmkfQh+PV
0yLxQ0DIXjKt6xHyC+t+umIgSbqWbDC3gEMuJWkNUWG8zw3VQzoMWyeKWZwJG+GQ+1ITPjI6qbMs
Mm2tE0tCRBJ1frzpB+OOSe6RN3fnGIrNQKBJCVUFsXt6HnS2WiJPIp/BGREodqm/DCoTxSYcpTHG
czFi/BsiT4PBAQbeI0oF/ih4JGqZOTrUVn0eg2BTDkayoulKn6Jkj9bkI23u8zyGC5FHHylhLVWi
p9z26YSrp9sh72vX+SjPGYPEpcxYCAl9EXYkVxUxMElhnAZiYTqVDxPYaK/kzLxvyDJSTsS8ClSe
jDagTe9VxgycdaA3lsHMIMMbXzaUXAi2do1Kp6lF/OEMnGFcgmucsjG3Xt0XW1Jkm1NWEVhTEXST
xo7LouQj2PO1rZcNMWdOv+XlslN3th5kqx1k5GRbGRZ7j9MWWrbSjFG79Dju/2t3+0V3q8NV+PNy
7BjlQfP7Wkz9ox9qMTWZ8yxaimr8xl/9UIuhsKAQwm+G5JV669dSTBKMwH8IYiWpCoZKQP+1FFOw
YnqkDpWd7VDjGX+nFHPon/52MOcpwS/zP4xz6McsNbj7QXSLQ0lBAdG7kGhi1o9AS9Msp0OR0SQL
NcCfbtwY0blxE/Ol/AUNCiRUYI1gdAg2tP6OEG2/40Sn72jRrKgZnTsIIDk5NTHSj8Y/DCagQky8
xZxciyx5LhELSD18GwejXdIVvpkkziort6M13lm2pyr8wBgjF4bIDYWvDwnJASfXdlsvj2k9GMm0
GszmPtT9l9IDt34EmzSjjwqzYHxKiBrBWtrNWyrNpCRsgZ8qlwV+4/xsaZPcTSQPRlbkK1bkQNAN
NgUfm9mHQaRLAEJ82crMX+plvmlGhP9FFu+qWNsRftcuxjr/EGYdb1MN8eRssZMH2hfjjMf4jM9l
NZpUDV4KS9JP/Qf8f9cMNb+H7Sier3orH4e+eUZ3tcZxQj/w+/P3376IIG3kz1/Edfo/q6IGzfb7
l1H9wx9eRrZa4GemRWqz4dJ4+NfLiMHUwhwOMoS3imDEf7+NaDUhgwNtMUh1NdWk4V9vo4o8g14K
5A2cAYXs38o1w+X68+vo8nMYxvMi0r3h5/72dawCf8SC34Nms4qnQbGZeiBNmgnx3omb+labFcEp
k8WLbdHwZlSN78OhmHWzmY631udouyd8fnNOGxY0FAFGDnRmlx0GccBmJj92kymWlF37NWLxrgCH
6fUUIjCnYuBTlAIS86kbHmTpPHoAqoIwzDdSWeQc4FU0dwIyGJ19G43PPkoWgPvlPdBBoGBa5O10
EXzJgWGNpjhqWXdTiJDWpOJliTrWcaSzI5fAtFJauZOiayFfP+IQe/Vb49DKsjmGjExEH6SboOLs
2w3s/xJcl6wTbdcqglc9gnoh1+RTFvKTnlW8ahTvqwH85Y3mS24U+aHsUnoGwMGMPrwyYiabNS6/
eHl2SWArEC3rLLWQnszTGE/BmkH3FoMirYJSvqcxcNUivWY+Es/Zzj4h0KxH5up6kZZb9vyvuNfv
gIUHO2Sr7iLr7WCdsFuv4kiT604bL1j6sG4GxlPku7gOfHB4hg4aVUcpn5eDXCDX36b9sDdl+5bR
fVpUZguWleyDebaGoyumJzeNB/d2bIbgVLbjjCrStWrvxBD229yFavrSx+sm7izOywqZoDiPWRQx
rolib1+qCFIzMR71KITkpSRiBk7eGbvt6yycRYmBzeseOpkGN61KNp1FRsgpzq9daRcIz8SdTqrW
wiRrZpETr7ZIRPSkYtdAZJKbairrgxk46pBXolco2pbJf3EbxFiLJCRRjm0PjgZDb4jh33XjThDS
anU5l3jKVn48Ppd29NVBVOBrMcMjrIqLoUZ+5Wjdu4UoEhKN+UoN+6aVbCV64GxRMRbMkuKdIYL7
yoH1MBImqxmIJBWWfMpZekmczUmelb5z1lUUrUsmbTbn34QKqe076hapgmvLhEFDT5atTqatjU2a
E/9dGranicxbsvzeWjJwQxWGWxHNWZGOK0jJHUnLnQYSNyvfeAoygnTD2n/wSdZtY65QaQTWBmwC
GaPk7+YGLUlneIS+TGYF1HIMfAySnEh80OO7G+r4JoAcb/iKXuj0l0G37kwV+JsxnKobfc/JYMkp
4RBgvejkcCxJCg6m9slVycG5fdNbNvqTeWfW2aIUTCSSZnqxOxydcYDwOYk8Y8kyh1ag0jjITwWJ
LiM5FX1Uv9QkGptef05MY09n4Ak9Ll43tjN1stzT0IyWPLBiUWrpXROZH6VJerKjcpRn6WKkZltP
VcYynH0VccJcBRD4Dt9ntIjLLN7nDr7wBrKcSmxWKy6rlF6sE+Kci45unFG1YtP10zUQSPx0Ue0E
l4A16WpO8hx33hdGtDxbjnw0JOIfC0OtqZKkIQ6Fq0ItcTXGXVx+9wax06nKnzaUC6KpigN2pnSX
YYXVVVp1AFJ3KXneujm414X14ahk68Bwz0kfQk8JNG0TN+kdMh78dyoRezKcDyNykrWu0rItUoAn
E7JHFhl0pd1pgwPwW93O/n1czdRMtf6Qq/ztTneiL2Wo3UiVzV00rBFR9IyE5FJ74Q7czLd5BCXZ
gtxahKVYJlmFwiVqbM1bMFPJnrNAc4LzbATU6BIRsaXbR9utHzyFiqsVNG6eizcaS966tHoTOu38
4vdA45y++eC0Xy3nrr61ovQmhEZnQqUbodPpClNH2+2QkleTBBbUlda+QqU7d57WLKSC3MXARlyo
d0KrCehVIDx78AkJmLsHE0YeLqhDCjMvVvC8BHQCv838ghj83FTTU2YP13KIb3keuAgQ+DJIfDT2
BVhKshx6HFSd03eL0Wvvc/h9OqprAc/PEuNjbngLH86fhPdXesyuXf4wKhSgk0qggDZ4QIoVYxEp
ZGAujJbkFwa5UbnD1bqrFV7QyRqWHdmyEil+j4IQQiIER1jG+1kBCrVk2OffkYUKXpgrjCH46wiY
C2jDQkEOEwHZf1Dgw2CMNo5CIf73VPZduajgGX9+KruljH//g/pI/atfj2SG+AcAaJMaiKGUJ9W5
64cjmeU54ECE4aJUVPrEfxZIID8s/goiiMP4R/8eRfdrgeT9A0cNrhr7F1nI36OBwO77+Uhm0YU3
FJQEJD4TTvX3P1RIFvFMuQk+7WKnQ5vskLgBfHWr5MyAioSL5krn69lHWcWalm6HwHvWVLRIBkPA
hrnt+QRKRgRa122J1Lmor7zaSLLEsfMR8mbj3hyb1dzt7Fh7BexEYgOZ2cFFjz1MI1gylmxYHhYt
JjRJI4eFnOavqYVHeeqw21m+++pYfrp22ZE31tCSHJXt6GsHK9Pub6OhNdf0eSP+XhznnoayYZpn
ACty0TnpU651xG/U4jMqm2/DbHwlRw3SZ5eEy9oY7zN3ZDMbrddh0p6x9csFuZMQBbDh9zNbnJym
owZLUKrUZjzsM3404sfRevKH5pvtczrpZ6SRvU7gIypAtNUUWj7oniysq8VcmF9E8mIjHGnkDFuV
BPKh3snYC1e+09aUeMNkERcrxmyBZQLedmlOAx1Ys/Xe9QhXyDoaa3BWeR+ikMyTHUpA1Ttmx2ut
sVwLhhQLTtzjGg9iuhHTlOxNAxodlBUmZlMwtFfmgAg+57S+9oUZb+kCVew8gMiNxgdoorC6YYXX
IMtp7GYVPugZmDHKkmFt1aT6wShI1q06k8FrzfC0+2iHnGG6mkCdF3EXi1VM/llYSPamlJMcgRnR
mbl4vBq8rsH52DvbsWbZz7EzNKsKPMpCC01/qyfdN8Mjea8KK0LSEg7/HFg+eoClGCc91fjE7q1X
IJWjRit21CefnsaxrUMDtM5LHtXas/bE/uB1sOP01jWBlelEazIYnSKmR3AFrdTk/No39tYNq0+o
NN6WVjNS/1pLb525CA5cOUKR/SF/dynKoVhEYucLBXvBTbHIEa4sTL1N6hVOHKBhtZZ/lFMeLAps
TovGVrFrrlYfB1gBx2Do6q0XqkOpcM1t2UrmW3TE8JPYROY41sKawm+6ZpnbBi0ozbg5M7exR6Ze
jTHuQ2BgJJAvAwqfMRShwc/ckO0QjsKg0/HzcyCzeZd+8M4FhxoJwm6YGQuvw9idBVQud4T0Dmf9
GwPSaQdBz7gWHD5XgO8aOImzqI8m+fW1GB8g1AY4rlKb7FZiFou0epo0L1iK2Vc+3aEA1U/Xsm9e
sfk/pwXsFJ9Yo3VIMbbus6JgxugoUlf8pOfFbVw10duE6mdhhEF4mjiq0Rpn35q7K5JJ5mEyVaG/
TrX3OvkZpv1bJ/zNELghJGDt2xC3qskZvZpafEit9GWEtbk1Gw3kS1arRcQ7cyn2HfjFgvdU61SS
ReY+CNe+rfTwUOIQWOR1ceMI6wsigOc+1UZMM+NtO9fu3q3rXTE3983sPVah9GmLQKyvunrdxxOZ
y340bU32xiViWcIysvxIpB4JA+FdgBAYZi+DWWg51dEG8cEkmAN9buzYcw+J419cczhrI9UsMCSX
NyUir4eHbYHelNTG3Is+gE3nbzJp411g9nScrc5krupZB2RNNucwUCCWnX14jc2aJbocMU51C5j5
XlK8bmNQlocg73iVYRSsk2lwVbJVu5wY4G7KkTXJL4bgmpEhumh4Xa6denlm4ftMjvjQtoThEWNC
3AoUY3cp9rGVazQ989G62zYxQB/NHr1taelMWWIOzLECDArfmbZjxxza56S8ouFqrb2ZNqus7W/N
FMyrxJr3JONeRI6ox4xPNgC+tTkIA98cozxTlP4msRRF1bHBzwFvWFmAiHcGZS+hh0TWhWT7+QTs
bA1zZKnnLLQLM95aYxgKFFoMIGQIvWYqWaVE5dO7B512teuejM+euJQOLBAhnPiFCUkeOOW2KMoy
UjBYprr/HnX+mcRDs+bPjzrnIm8/68/p9/0ng3/3w2HH0JXOlbQb1Ur6sRms/4OzDucPKUmw/R6T
++9usIecB+svvSeOM/9qPn1vBaN/9Tii/NJA/huqHA5OP590MPgonrHLYUxBHeib/XjSycrUKiY1
nMnMud+UtI9WhXBeHTqVhdM940l6TOYrfQfmhfraoK/ZtcGjrxqdk2p5lvQ+K3qg8kQB+sUcksdM
NUgZ4sXbiZ4pEL6WIThMWrqpIsixMnTFxgaCCNSHlitdmDciZMoPXbVjTdWYjVWLdqbkH6Ja7kDl
HPKBrSM2w+fMLk5AHV9nrWWu4dZMfKr3KU6u5G6911J/GXswVrIdzwzvCka4SbEqKxUnjbXERrv2
PAn3LcJydcxL3V/rAwpRUcaPSZe+CeL29vjy9z7b6oYA3t1cGW99k914NNYm6dx79TZhP6k8csdI
qnnswujVjTRg9sVzU2vBwTHKlddYyyzvb3RaSgjkb8YpurE6cjonpeaMwq8FmiYSTfFCyuHGA1aP
IsPYW1Rk9JnDqVgaxn1QnWtmgG3yijSzWvArbhVsbNGCOmQXgP6PxR+JoeE++pa/KOym2fXSy4kF
ZOP0tZPMimFXtAzF/KhbD0V8B8zlhPNvhr4VYrhJ011VpF9rDaBjazTlIqzFtmaUx97W3RK4w0ya
+bwgI3Yb5uZnG0UWach8Xopj1YZr5zn1BymZ0aoR8hS6M0Lk+J14UE+ZaU9DG13S0rvJSmslY85E
WDdPQ6AIGhR6NicizmqSnRY3aq5UWQiXxyXxPTqCLAtgqwOWOopImWGAy8MWsR20GUbE1nm3Sw14
Dx6KrjGWPl4Uhq7TdXAkSl0dWmhlfpmMmCy6Kr7L9Sxehdw5WkqPyLkXVZbWawEM8FRp+j51i3MZ
j29YhZ7CpvkoKxc/xEDi3iwlJmlOcsxcERokcbsn9KZY9VXyDPtMmRRJ8ovC7Oo3lgl0dNxBxio2
dUA/Z544tScFx86IrdNxv3E/jkxYLxZkhgTdiq2nYpkhSih7dMJTat7Hc/6WAjJp9YFgRwPlcZsf
GIGfREbsQdbRUBLl3u3dj7gJ9l4YYBpHICpddGNNdF92Ghh8uRe5EgBbnwC794kILprI3/ImfZQJ
zbZ0Hk6WyWGnK85dj2enTIg1ZoQ9+lDtIJ3l87ArvWKv19bGnqxdFZALYgn6r5N5LNPhODTiVoRW
uulmkqiC9mVw0KE01ryJaujRHZqJaXYOpETf2VF5TKIe/CidmynNOgK2jYsl6nNQOhcOql+aaKKL
HRj3TdE8B+yUkMrPXWitwmC6y0UqFgkvfZKGUIOi5yBxtnZQABmM3D0W4q3sAZxGTns2OUkwbjev
ZDvu0UdeM633icsAy9LVe3K1X8Q4pEtXpOnKM7q7IbRPXY3CZ3Y42uZz9tK15s7p6BESAGmMyPY7
Nz8Te/02u9520OjgeMMmjfrXHEdPY4tvcxOgx4hgfDT+SyR0G8/pDCHtzoiwQafukBLPW9isfaNp
HvCpz+tapkcvQE/nJXuGWvROwQiGYXix+vToBxPypyI4D0DjmLDnHz29lYVWpzea8LZV4d0QBIHQ
ZBg3WSV0uLf6E+lmp1G3ns1Ew78V38/qFsJf/igBbxdEpeD0OeqB9jyK/oLk8kYk2F+lg1d9Gt4N
dDcokIOI9wRkesu9qHV7k3cBgms3eyspGicvQ4sX1Uy6421CG3vVSP0J2NCh4pAUhvjcOVQhWNGX
hvXgBIgDovkjTp170M3BKberci8C/67M8rOmnHg+4UzWbL/ppdw6ho8IGXkggYYWWZCjsVPJ24YR
fCacnRZOXojj5EwnnYnoRteJdAGPuAXVgsYzDculMaIrkoHYNVn30gzRfZUDcu6CB79udqhZgsU4
uE85Uwe+80Mwpc8tCaP70bpF+b6KBSLmWIljsnFrW8VlaIOHSMCvdWW/09J5284uZacE7K7v6sDj
0ugXDQT/IqSL2XfGPTNHOEIo/FdujSqp1+mKmfLcpOz367Shk73uhip6srOoZfGHCm3kRE5nbtpv
wkpSWFIYRG7P2zkDW4TILxWUmsyRXT1OWyfIvVtXQaszha+eNRq+hkJaB31P6nWXfTAyQRaGfIId
xl6EWGdWpZHSdQ5IMGl3TDMi4HJY2Ire6w9xSkldadO3nIQcm7d4kdBAX5oKui1RBK7tNH2GsWNA
PgLN7YRuvtFDstIh8clsWWfBaUBEcslxzL/EuoMGEs2DhmpwsK8Nea0HRAiluRhSy4W7jf96XQ4z
XBtdOw1mfejL6JZkzI01xqRpzE9Z5d8FVX3sKoJvHVrrRup2a8YCL/5gx0sVmFnrTbPoE5wGFjpe
s20/+rhD+u++Wr557oeJTSZCyNhvWp9Ds9k8lEJMK9cJ31lZnxjZ7vwhvAh7/ITqfcQfj56ejHce
pILZGQPu2T46UXaGCG0upZOhv002Wpkd+o4tGv6wu5K1T1agjVysuCMFliolm/dlIE/2GO30Glp3
AgzaG+j9iIRigLGRjM2rN2T3LW7WviBUlOC6hxzK9BLw61FEw16gHkQ/sOQotDXGak8IyFZLwn3g
VEfgGwhoTdBv+qE22WlNd5O45Rc/niEvBdfR56RAAho8qHBdo5azq/Yzg9epkW1HBuF6HLtj56Vf
mP5TsHs5+ULRXQ0VFt7P0iPHYGFmkARGcd+o3O4WRt1yUnUZkPMZhSdRnitPOS87r9m0MemDnfHS
uxZqTH3cEFO/NB1t4miB/ylnHDmlyUtq4lTSgT0id1l7CbHsVEp7jYhhz/O3cKFvRW+QiNzqD9NA
mk1cPhe6FCszY4Cg9dFXvy5Iv4mHbt2G5s1gixs/MN9QWMp1RD6rBVkvBlzqRcLbBIF/JJLgs5zs
m7bUVUBL2oK65WEJisGGrEJgajiV+tqfpHspcMXkFo3f1CVAoRVXwpBPJK0rWIK5aRqykH07JAup
EfSVJvlqD/F077HSrHCLnkakQCttKJ5He76Wmnw1jNhHtlu9iJ7ji5DdJml6uL8N39r19Z2nlp7K
DRZ9wRggqBkE2WVyLpmZJPimLhq0zhJp5MqQzUicREZ0wkhW+gTP1uL/gNGv9L66D6Kx3NI92qPo
pPnXdqeZsnVR2tbLqPOixcIlh3f0mE5N1o2eRDcJ6ZJWbJHOE87NqfTplESj+QwaNDgMjFq8Jn0V
ETBa9bpLbNILjwbUJql789UNadaX1lUfxujkmWQR6uU+KMWDAWdiLmyGAwP0WVGsRJacqkDQ48db
FNjZNyTiKWu5sQ5M9yFpyTuC3pH0knPmoNpw7cukV3feCJUyL52bWA9uMidmhmNNR3ysT1XqvVqj
eeeyDh9tE754hzN3Y7TW65x5e69B949VON/mPT9Yq/RNoUc0Bpk672C40nHKS3bHwMqEeT/qsUEZ
Udca8qp0sgxypUyprQ098ulk/FDx/WcHq0VRp7IWoOTpyAjwJv+2gDIiIUbDyKNLXGJEzs8NPVvP
uv/rD1E22F/Ms/uv//v/VDSD+hCpw2wylftRVXE/9KMTf6xNrWkiELikq5wFLTLNemiHh7/+GCrR
33+MIwFRCdtCuvuTG9enZ0oVIDi4G9+G4lEzD3/75+NAwYSLF5fL9fO1aryJ6bvM0ks+8KDtXB97
6b+q7z+4F3/w+zuIO7lCXCib7vZvL1Pg5IRv2VV2YRSb2bf2P32+f2olVkqM392GH67PT/fakglR
ByylFyuDnL9M9E3trCzi3j+xp/z1V/mDj2LSIcE0WMQH2d5PtyJ1AzETJZdcRLzDnd4yloVrZTE8
WAL6+evPUr/2T1/rN7dFCVR+eLqEHmU9Dsf0UiJhQmxK3dWuWFOnfvPXH/RHX+rH+//Tl8odQs47
95cPQoacY6EIN+wjaisu/8Ozpn7pn7+Uh+8dpxHcNMNQIrgfvpRpIwlh480vjbnx0/d+XNv+l7/+
On/0uP3wET8/bnNDtmlgi/ySu++x/2pp/4fHWYEzSI9Cp2N/79388BXiKgUFDaX8grbDM4FfTf+H
xcvV4ZxhAeO1kYbx24uEF4DzvdTJ13PeB+emg7Ak2v+wdv3RTechdmzbUui7n31fXpihkXPn7FJz
8JuWEKp0+9pjQylXGJz++o78wWchyWJ0pzNB1Ok//fb7hL5Lky22c4KOOJOsIxym/5+981pu3Eq7
6KvMC8CFcA7CLTMlkqJyuEFJLQk5Zzz9v057xlb32J5y/be+GFfZPWyKFIDzhb3XntYQaAtqrJvv
b/WP5s7k8fDbQ/e/kohOH/3rO9fxR97SyKrT6d+DUl71ZeDJnpjrSkA7VIq7H7a7JmI3lHUo6lDA
8gT4z8CTFS7cQ5R6pgl9kJf/PvNEi6cjtmMb6yLfY7b6N0aeSF1/eDIoLo3D4cauGH8Qb/jzyNPv
IsRF7DWuovxsTQ4p2j6999h69+NssjicCBr1zPzgzumNO4m3idTCpYM3AjQIywOoWfrCaT2iLr0r
S+fZNWr2mxcmx7TzHua5ureG/LPrgk2l2ayBPec5LbMSP7WNNmeYt7qZHQqWnKQ39x6qPWpdHWB0
ymHASDB5sAN7xjtjE7PmVwwDAQMQ6vCUpCT+TvMbRjLGfOC5h6q7T6L2zLbvFFF1bnXPvc3YOhfY
zE7ENFwUQ48DSWsuDZemaYSBko0FnxnVGqk05KPtOzfcUHr4C26aTR5qjx1rMA8DlFQmdDdAPBjy
oHYcf+3njbGeSYDFqLOpXEUFx8RmCOMdN8kVMav2glSi6XYm1SLqURUZZbOcqxGXQGxFZJgLVEm5
Fq89TT5ncwKijVg1+HF6euEUkbeqBvzc2uhvsU+DIh/UpJN4A29i7zR4M+vG7taeCE2ca/mAVQCY
TBDVgjK9U6k4ncRLtxjZC833xjBQ6PVYMsMVvZGuAmnbvmYWi2ikXoRBKlZ+wQwSdviBbn+NjGqr
p+NuHnrUfE0QLOIg2I666JfO7GMZlca9cAgPwiX9UcYS81fjLfp2fpkFGxa74cIJ/e6+ZZsVpR+1
j5FAoEaUoiFYFSN4DVPRjvMd0CJtHSYseAwH6aIO9ythtAaX93ES9kVWMuvMJMYrQ1b3SOJugkzc
GNgbh3LYd+a4Zcfm7yLpk6AR+TsCeIplUFmXmHWMhaeVzn7SMNjNmfug9bW7sCttM3jmVo/A+gLk
oz0Z9rOHigD8sb0QQb7yehZmfVVuoyh0FuQGnnPTJy1AbhqNXW5ddw8zc4FUmp+FpTbZMX2PyyDe
T+4nJ3xmHXsewyRCqe3ukpzQzVqR7YtwxzgPzC7zrHxsL7KOhEyk1k89wRX0+K8ty2hopJdeHK2M
qHwmAqVd+RaDOsi6zCrr9K4T9X3IMUtyEa4S3UkuE3iH5YyetHWeK482uO7sY106NzMUY/R6uJm0
ccvKf5l13Yt0gxuQUBvHyK8spHNjqaPus2fzAJMNzoCdH+aEUCMr2CT5e6JSLegv1s3gb4toUP4u
wBGgGc4R8BxXRx7lKbhEC2WCpMNx6dvma6YAFFJP2qUOk4L8FLAP/XRnK1zFWKQkhtTOXQ7JAiT1
8+yGRyI/ry1T25JSD74P9oWvklM8lJo2W2CmOlyA/l0as0/24WbIGHh/1Bt3XMZPBFmR6uIXpzay
rzH+v3v4O9exNpwLnwFU1hgqUMl0oF3kcpEqbIfbMt2ReJjIdfRuEly2qjGu9n4f6usM0PQmt723
ERZIAhPEV3AQ3yGSufkODJkqGNaxvCzdRpxnqCKAneCLgGyOb8vc+OZP0PaCZL6fi+JgzcGbwcyi
S7tpl/metm4T8xS2pNc0ZdhsppSBEm7jj6J05nXnhAlb2JIcx7Yi47xF8G97DgkkMq2XvqgPs+EQ
PWOAtDb2Ydje1My9FvoAZ2IWpxGRZpHxKSNyysoW6ZmcNbGagmAVh1nHPFj8WpP/c+QLiuM/P/KR
f7Pl/O8jX73qtyPf+EXwqAduTCSo/G5r+SLo8ogJAQRnGAoB9Lugy/J+4Zg30FhRpDPqUfid/wi6
SEYHLKGrUsEgzfDvOV4oMf7gzKcqlKZS++NK/anF6U2SGyrNm66kzURL19J83Qi9SVgwkDON9hoI
LIeBZA4mfQAfw4AePZNbYCJsNxTdJwp1eRgV8aePMbZ13Oskt+sw7axmYxqthwQUVtDIg/TaFKyH
bNFqAAYCiYygePIUDUMDi5FXSIuMcL7OIshjvmJnaGVPZB44DRzR/TJXhA02JMmSwGv8lS448w7S
J8t78zpRbI4+4xTOfLnWFbdDUwQPwi2aPcqh3AVcDOEjAvWB0+BjAP1RcMaVigVS67a2jxUfJPBY
4s2KGaJ39gv19I2naCI+WBG4gcNKABppFHHEBz2iC74axSIZg/5aB06SwSHygJUgeXvBFbRF/csP
Ow8mkLb4ICTnTwfqZC7d91mxT9BfkY0Mjm5SXBRWvNVS61B9hzayHOApiaKoSHAqPsJiR6uOOZiV
OMoqZsKQV1ix1etBTm9zZJ6MqOZf3PIm4hBf6rFVuefGcrVpi/JlUmnzOHB0lFdVjSfYAExUFlsT
mq3uDXg328vO8DbMbD9m143W0ukZP0lIpLXD8dhMbIM6LIciixl3u0O58wKvWAymeGS1dew0JHaV
KNf9aMpVM334jr02TUwZph+80mx+dk5QrJxE5qtWzCRc6m16dFPz7NfgfRwbRX4Zl8RVza9uhXzQ
INmL6IDCXtZ4zFXI0b4324c4Lq47PcMDYaMDxxSwmSt8xlkNXBthrWFfj0PwiILfY3fRXAZ1m656
jQwS1+ZydRviA6MkaFc4bPWdk+bRusgaNrCBj9m28h5KPz4nWVDhAIEONbj1aqqYQ7YyesXGHizb
vnh1RuJnmpH9QaP5eHHbQqzQQiYgn5l4ZGZHcLYBSmIUgSCuMrh1fIdrCizAzsyyYwvrYNnliOl9
1mmLqGLRhjTiMtWGa1Tez7lj+UALMnYO7KUz29yhEqUMCTxItjheU80k+Ss02B7pCJZLo1XyZLQs
6XhVjNqeRBj2JEPyDZ7jY5yhVp+Gc6yofmTPfvCQOtVmkC3qwT31jJLXsctexW/y/uBNzdkqrXdk
BuSzlSFwiultiL3TaOa3TLNj6q/5OaVqXDSaDDagkoFpqEyc1refm6K6NoMQHFScfMRzX+0m09/O
3QAOMdVsNqGKiBMAFA+DgZs6StdamTzmDI+NWvllevGK0/Mltzvq+7ZgmFsgoYoK6wh45CGuNRZ2
/YXrZTpxo3Jth+WFj4xv2RUdWaFgU2JPe24rlkNxcQA5lS4Gp6H4DJyndkYqnQSWt+tLx1s1GUyJ
weDCqxpPXJlJ4Wq4Vufo/Z9OmP6VRpGj6s+PxTsArbTA/30uqpf9di4SssIxxhCHZvgnobP1i/31
vPx3HywISkQT7TgY0xjLeC5Tp/8cih5qIUfXXU5TSRft/C36naPzc30ZkfH5hOTwRZOE0ghwhVTz
rS/zJbbVo11VTXbOjVKIY2N27CanLuLgW6C4RaY/jj1tQ+qU36o+e5kLcNyjlt+CJuBudt4mFvDr
ssMbxmKjKiNwGorO3AnnpLcGT/m4o3ct2en6hddDSZ7CjVnaHVaI4KRpPjTQHjhO7BdXzdS+ayp6
Q3rDuyi1Yh1i5+xYTpCfGF2OWJ0WjHaOWlmda72QqyK0ZkpLAODoN7GpTfU7NDQIcV2tVuebOUto
6Uz3TRth2gytsXDGYOc47SmfE3wzidJqV8MzFPv7tJ3SZZwYt5ZsnwKXLFn4BgD0LMu+CqJJuTK8
lgYzqaGPBK8OAtktXQmPWmJlEAFcFSrdiLSpW13lHYVddD2a+kWmyw/RZlvIFK8N/GwiVpNlTYkx
Ep1U44zQDW+X6fVTRxJJMSr5hQpbInTJi9+sgTULOUzEXn2rzeaqnqNHSU5TQmbOyrQwl7vSPmv8
sAAzhl0WwmGPW+Aes8boYUqiW5SJp67UTvP3UCidVm5SQVGS3f4+NpoK2wQL3EEXZ03CQuI8QiOl
gY8lBO4yDgm+jFUQVRWkYFY7fe2SUWU32oU5VDDvSK9yCwgJupddlZPwyFar2JaXubklUmvrqvir
OupCJBWpu02csGbhzhFl9z6jWBWdZaT8qTOZrNaHB590rTTqzrbeXemgxZea5lXbmnxBtisuHQZR
N4TSMKYhrksMM09SErwyjbO7NkGgUpj6y6HoL5ktnUIV/DW2YEC0+sbu5XkgGSyIiQizzXgryAzL
WrHzjBEUymzft6hW9Sx4IBD4gxglbZnMJq17B5Cqrwgjc7v5CYYHWXkmD2OnfNQ6FNtpM9xrHlFm
vJSQZBVvZqmcM82c0F0w+TEMmHwNe4KoKI9i8q4SgQqtnUYyfghQ68Z+WI8uLCkY+wH3Su2Sfxwh
aFKznRZ0UmLV42vrEyaAONVfWTVZbVYSP3YJTpno3mohFbgq1Y17bSUEOW9u67TbvCFiB0l9uRsN
02e4joiiHIi6g4iRxchVZ6I4MBKGBA5X88ohWC7KKWlpnGFUWSp1jvg5nxi6ZKxgVlr6rUDCMn0m
ugLcBfVN4TRrMD7oqkJn7eJapYr/1FXgXemIz3rWnz2S8PQhPZVY8ZT1doFMJFzbOO4WUwbRpWte
U8EsIZr2bjFfCJbVy9qAqMK1RzQaErranT7Npn4JtO5yKNrrtNSUqC/ZoJpeQWA8YmUbl4aK9pMq
5C/uwP51KvivbtvPUiO9JB0HFS3uvEZV/cJEkgMd1s3CVBGCCEPsixYFL1p1zWWvLZ546lY4LWr0
BqQQtvhQFrj7I7gw7iUb4nEbNF23Cef+AvwH0hHyDO1wfI1VwCEySLFpqyalPILe24hqZ2cwIvDq
LdtwvG2Bg6nApnU6orerEoRDeS5rbrqCW8K1j2kdEfI4+qciRQchOn9k5BjcYpu4Kkrv1vPFzhrJ
kbAJklQpPvCciIcOjGoDYyJ9qpGAof3rD5rumMSXqhtbxo9gcWGB9ANANW8A2WmGb2NeYAMRMPOH
/IIH+s0kCmI79QwCl9ldlwL/QASHtyeVdwurhTCWxhLI1Is7Bo8XoQ+yKKnSQxP215HEvWXGjIQQ
XiycojbWeZDy2r6/lXbs7ua8e2vQ0C28ssYsk5shQ7BKA1KqfSJ+4LwI62jrekTDTMWbbXFvV6kD
pyqDL5MC7AA4NecnHUH4oi6qJ8PFoN+6QHGyicEi8iayRoDbMaMxMZnmOmkfOmjltnjrvOiRjCT4
Sn6+mUgXWxj8yimFqKIHy2KIM+rBBu4d3yn6pb1lDRT7AvlaKJDEFJK0K9Hfh1NyPXAmLtsYH28E
3ADokQRLpU1cbq4DTSTmv9G40WRp84DwOz5OmlXQ2mEKDfSBoNnEvpct4br59C4LeY6D8mNUtuBG
xE82EaxIJlBh2F1+QKtbnVBHHjn/8fg5+U43jH2blvVSTGa3Tly9eIIWnu4bNWg2ufGRgj9qk7hi
Xv8+VOkG3cY9h71+CR2N+ZLr7ZsouHKi6s6bkx1r5GGBZG9cpFSUi0kMO58AcSfHy1r0Avx1reJ0
HOdbBGJ8ldUkD1Tk2Gymwr0x/KxaS4RDaOYIti/LDJVP2vl7vZ5ebY2LoQ17cwMl+27McYW4vnYR
BcFrjUM3SFhaj3G5LaqC1zvlmbALA0eFHqw1Q35DhEnsaRs9Cx2LR1zZZ1rTh0LYW79Ug9nA+oz1
weEZa8DSMmsi3sYcYaCTUpjbdPI6OuZ1HtMoGNHElG82nm3goB7kqvVc8outNZ7a4UQLFztkndta
/Apo4phEqAjbyI+XVV9eRj2zJ9HW2wkxHahBVXnryS4OSOqJXMhhemsCiDdVtAOomjUB1e9hAHQO
tUe96Q1LhxvR94iop2WBI5+nqv2YuQEuw8CXy6zS7sJ6uCetGVd45C2LIT10jSEXQUf7E9BerEwR
3raMAtd+2u67ABtPpnv3BKaeg3TwllbTKlK7hjeIVMml1bebMdBSmEX5XqNy4oaM9eVgomUlCGQ0
Oc/5tjhCoFnY+sBIPvoYmGRrpf1p69qdhjRn5WQohRMv+XRU4r2Zmt/6qb70OMnRBMlvDWYl1gXg
RAPjgoANhsYzHNnRTh6DDD4uZmlz6Xb2EsTVJvDfkKUcKAwY3AutWBhdfFHKmlTYLo5PZlTs/QrQ
mOsmz4EmAfsN8Z1RYyRFw3rjAP9fmEhehTc8jtRc2Bxmxr1lka+r1gqWkyQgLUsqPo5ACucONXku
hWC8Wpxdd8Ks6lRMBobhE9UGc+jBGdc44Dd63z2V2PbxbxvXaYCkm2vhaNkRgB8Z14suKW/JdZVL
yUSK8nLkOV3nR+DGOeEZTHbd9lucESCD8OSxGmkBs06/n9PoYpzSO1Ow9hgaHqmO/tarNGR3gJKH
WnlYQfc8lE29yfXRZb3UtDwO9YKrNv7wqI3hzeN6HvOPOasvZlAni6Ce92hKngAnrVonvi97tgIN
VZ6T8OgDYdUtQw8bUJFG/JCds9XH+tMOKemcYny2Mmo+fK2wGOOnzsn3Pm6XMMlffTd5i9sOlHt1
gSDRWAXZiNSLYT0Gnt1UOTdjCPVAEk3nV8Xt2Hi7UrB6lrSNeoxfyEKGbYCns8J1iP0QM92hHos9
C7VlKlF3XTSxAacocMzkOs1n+2kqIts9VZrs+Q+yLfvVhMG9Q7/967b/n9Gs4o78eQ96+5r/69BF
zb+u3sjq+QMOinr5f3pRALF4RtijeiQD01fS7n2Z0QJH0QGkQ/BRrtvf17L4TTxeQ5touXjGvC/t
qPjF9UCkEAbKZvH7nvdv7GVVs/m7XoNmlBGwyz8Y0HKk4eP9sRmtObIaGuPgCqXaojEvIxH+D3GA
sH9seJWMyiUUhXQTSgIH6oqSD3xpeDPoBl6ZTuMJKfk+DztvQ3MR1xsnG4+jhbNupc7B7awoG7ZW
1mDLaGhvTfwiDBNbzz4yJ/SafR741bGrSdtiy8SJfVQ5J+NaNNhMsJMYLDfYnoCMHPRyl4RZtkaK
BoVxrOYtB6q5Hgzb2NahqNZNMcRbyy6xVPb2OXbyYFsmGVlyRVBvIy0gtymoi1jb5hlyoNu8nsPP
jF3mxvpVzOZix1x7v4rcvJR/W9PLZ8REfFfCMSJEFQdKrrpu8Z/VUTUD+OO00cbwySqNy3AMITPS
uyx4+O+tvtqiBDoMnU273GqnLuwfZGLdVV5zWyNRDvL+wYZdBsCz4kEbiQMP8nUgqgNS8L0RBAnO
gS5aBaN9Cc1u4epwpvugYP1Iba8zXpiL6YIwvOcyjpHJp46igldXdWTHOy8PaYr0t9BOpsuwtJyl
8IGmuamBLZIx+URS4FTY2Bs9etlAQFJsx1FucWrPl6RGXfYg0UYSoloNoH6WynoVWTO1ZrmuhuiY
DdJa+xbWkiAsyYyt9z4xJ6GsUsJeGdgGWrKvSSUj6t7Y583I6DjMbou6vQwt/HPUe/a3qQc5N9Gv
LnXT3ozEfC1GI1oL0eITdPNV1vv7sayOg8DMZMQhX2vrLqmkaZSDWCpOH4SakTivhvKf4tbDFO3D
O9Cn9lhBDVwGHoaFBO13keofwu7eDeTf2zq1Mzi9mcbTP5HRdZkzBDBGEUmk0MwRHUO78JLY2Dau
/o1Caz/b2qk1nPs21LYpNTtMFFLHE1fBkw8sh6/7nE1cjDm79tdKXJnZQ7LDtLB1h9ZcVRZfPGi9
XaP3j4baZJZQ6B3Pe5nt/kisOKSberyQqX6e+Ut7Iz9mijQjCJUvtVezMT4Iu98XYj5YvrbznIfR
fync+QLltLuRcbCuHQmW1uDwG996VqpdS2KVQFYqzekc+JxelklyFb3wMxvVZwuRwqoejAO8CJLI
xVUV7qZMgOadMYxKxuNOqN25Y3MviFAbA3wOMgzOoi/Juo4mvKM9zpoi2bMbAqreGw+lFt65bnav
lcVizqG3B+Une4KLytMuxlHHmB7bF1XsbVObChOf8AqcabcXnWhvxBBf8PkuZay/wERFmWulEaxo
vD2mVcanTIzJbtQy87lAiPzUuEVEUz1NPnMHP7kZfadhtAZhSABkYo/fhqtKU46EFI9m2GKXqUxN
Xw3cFoceZM6pEzMmp7TufWZiDNC4w7D1FovKaxn6V777BqIlWIXSftAa0173jX3yQ6JfARGQuCm8
houZngemZ3oJ9xaYjClvWl2vYSwPFTmFBKEZRnyJVv02KxOsKENRLvqyYTHuCZoU7EmM2gDjUCuO
lDku5pijX4Z82TMwSjLP3kQA59GGQcQt5/E7knd6QDpeE0/JNpiCQ5wBxZkS/xp98Fs3esz9kHnE
qG18Tb9llf5sWeVL0yXruYh3fdx+OvVwlco5pqQkmgBlwLMZ04HbzksxaXRfDYwlg5mEP8RUiA3L
Lyr7Q+PL1TSBvQbtG1fme2a347ZEyh3n/TNgJrweLe6tqHtpWrEpa37NCfkXvvNo5M2D7PJHaRSg
ksb4dkynQ+4Nu7YyuMGH+DEIp300cIuO47H3s22QAZyFcnTTtvMVm4znMZSnIhZLV/SPg8riHdBC
O1grewHzZyRzgt/GOreTF+rwBrCmzTxKQhFIqWVbN9oHzUh1ZeXFMpb2LXGNfIOpkSCdce5Qq1y0
4KOWTaQ/cxJcVj47RA0dE66bdlfEwaOkjCMjtN7JjHgpsKBax6gk59NnoXPAmLerk+ACxPGzRzXm
z8WydBO4MSg3KNfB9mXsdpJXjVUB6PBdh2NsUXX+q94mF3zXq4jGD3WUx8hmum4oY0E2NRexru1q
ab/4ONR6SlTiRm9JuVqRXDZvGggJgHTCsy7GT3ZzEodY/qKL2FqYc3SEZ7at/Oouy1ts03mx6wO2
KixAlO+HHFXTxKsVvdg+mOqaBsw0i3aTZzq9oxDDmaCYcOFiuqM3rp9yPSTvXnevWPext8ur6rIx
HDZagFo3ICq+wScnVFsPtKehtLleZqVzxYy9sGDovI9wahl4ZSG4mck8kpzqf36pz86/FjR/EXik
lNzC8szvk3+Vd/STQtFIpEHGg6+d4hjTz0PivQm5/f+9xU9j/Ymr2E463kKHXWw7V115Ncbnv34P
pdT9vVr7LkjnY9hKRcdIQlo/fQzT7KZs8JgrMOTj4Xg1t5gk7mDT//XbKJHuz2+DEp2tPeJURHtK
yvelYAuKGJNx0gdXHf65Kg4pDLkPq/tOnJVR1G7YAcp/WolfJZo6v8Q/byVWH+m/TlQzH/+90FIv
/E8TYVq/SNA7Oin2sBFRp39pIsQvpofIAsM6FzlqkN+aCGEi4KR5YAyMlll54H/baal1l6s7DreE
bUliDP8W2vRH0bdELY9MWqn/gZuyTf6+8fpyvbQ+w7h0zs1zXow7PYkOTsAsr5/WX76ZP7iJTRcx
6tcLE/4jLgz0HYblcTczEfjxwtQCPZEERAxnKe1k3wa6K9Zy7mirGYkVAO05LRxtxYL3ypu6Q5WU
946JsqpsmCMNFPDrpDaSy74mW9RiBra0JsaADENovYf6iXgLYqldavNQKSDCJr0lPsldmmV6xn9A
lI9DgelWJsZDrQ9wY/HwprS6rEg89GJOmRy62IrMqx2jznzj2/3GFJLk2dkzSFoY1aD+UXMdLGjk
G/Mxn3ADFsQwylvLtG60bGQ/h7VKpSgQwMO5zhyx9vrT4GfBOvOMez9w04WOIGtlhmjS0M1dS23e
DKJ79FzCjgLnJcgmTilkHAlTiFU6RWdgb5d47MBtOXKH7LTeNgD3llZd3xd2sIsU5i4Nw0voB2+Y
/pNNn4G7tntO87QYyZHqAtgXosCWiPSSJ2m/nEV8Jdx6w1CYtoZcRyS0L51j3NdNABU66xZw7G+c
qttKiOmBTbJd2zcZPygZWtjwxTI0JfHLZbpEhuYuHe/Fa7O1bo2rDgLPoukEsxziu+mAHX5/2GCd
7tOdmgjflzxqfSfxXGeENKPiMJzpZA5M+ifkFkNoRBto0ucqDeMN8+XtnIkjY0CWQIbYej3fbTig
HtVsRq5l5b3ksDs8wgyAykwrEhAe8NXSwDQgBAlgv22Gbm/IpF/Vlv5Nh9O/CIbpIY0iuR2t+coc
Qfw0YUzuxVy/G6n5blLQg3IydoQb7h2J2zCBx50l8jpL3BUyW/vgWDNc6zT/NsflU+g0IZ1AcWf3
SbwSlUNL0GG4ZZBtWv7GJQetXnOJMcgVbH6NMaxeyW5h8Dm7GrZnaY+M2fUR1ze7xjpodmLA0aY7
w8ZwB4Usp2lIU9mAEyJK3Df2tbDeB93bRxLq6VwQXwGZuH9IpIWWNxgM6nCpthEdbRYWfHNvYV0j
Su3UMjae3OrVt6MbI9E+GCwwlvWa64Kr8W4ygZEGTQtCh/HbQOwKodnIUFmQuHVarPBS8fcmObuN
PtqnXTA82zFLrTEoj0FEUFpTjtiTWOUKTHRxsurbZjcM7dPsM54bAf73sX6O6+KY2NyyVp6cU1Mi
btH2c8p4HNRPuCaDI9vEGBvtgZxtIlkg23TGDTvr7cimMZlpIxExovopnwjSzu6cfSjqy6TVdsAm
gOnoL7NkYwyVqsHN8JKK235odsiJL8pChZ/XIEXrpbnRCQ3zBOyI2VoPBOf0prWpjZB1xVz2W8uJ
241uEMYc9OIlFwabj2JY+Vpds0gtkRPlV1MxPDNlANw+iYe21d1jqcWiuivifhmAIPXRLWdUSv/j
MfqjKo+bBmUZnjbYtygGmfqo4//L47pp2Czhz5zOA0nlC7H1L8bb4riPsca/5o/wfPbWEsv4JQx4
ZOdba//X7/9TEfPr26toSGDbpgTA8uPb1z4pH5rdzefeeS39vaczmB1fyCj6H4OnP3ofOCa6o6w2
At3Gj++DnF5Cuu/nsxEdwrFZgBn1gv3QNf/jfX48/X79Ovk+OQMxI+Jx+Gm8VaFMkx35CmdbXtY2
bi6WY+Lxr7+z7+i7LyXZ9y/t64f56U26UNcbM1Ff2qZ5AEGy7nf6u7sCOVocM66xxQ2DkwVZ8rv7
k7tKF6f+GG0emrW/vo4vhsUOGeKhXfF/XBUb/rd++OufT7lVfjqZTSXyxCMp8QFK+dPPl3bzbOST
bpxZqZz8a1RUR+MxQLSwBOqwmhYXz8Z2XJ6qzbCT7GMuEbJcs4LYDIt0+f1H+WcmrXOf/nkhuU0/
8vwPikhe9FsRafyCOIUS0fEEwWI/4B/NX/DrKXMQlZzpqErx38Io1MKMmgULS1qBf3OUfhdGMdfl
7+Ifyodr/60ikvzPH66h78IoBx8Zfyd0OaH+uh+eS8yAHXPsXO/KzMi8iKUxl9vaKoL82tIIxljL
MGv8F88y62srBT53wXQpXxKxcIBieKhzL1kiiX1L4NJOCIOQdKLIEQIQaWmBYFji6d/nYNHWXe9d
J+7wSfI6UUu1++p15lZjgx80jHhktWWCsnVz6zSW2k6L0jdZj9ZSKf+CeLhOgMssbIiJAZwkRzch
9jAHQW20jLwCzWU8bSmWT+asryKSmClIJNwWfdpNBv67XDPeGMngU+/lvmZMVQpnj/n/W5mPR4RN
qVzjbLCfVUwzyseEEWDxUU8ujnjAALGHiyNRs1vUJBvOKuANvbGr2gJfPirmoUUNglq5XpcZKyiW
C3zanKFWU8yPWdMfiQfM4EQzwqkT8kPNyOJhRRCihXqpTtjzGXXA/GYwXt2EQ7Gh7KmEQ3lRdM8Z
00RWibdhXlyNEyBsDTX0JmvMElxsvh8iMpe8qMGdxLG/0gfRL4rMLbaMq6xVhzRkaXse5/p0nclk
3wRkw4Rm/D5liN10qhy0Bj4sbo5KKyACyuwGyCjGZ2tqF0bf7Yd2OsQ1BYrvQSnpG7b02EIG1JhG
vJqEpuFCajGWpB+Zlg9P/D4vW/kyZ/ZRRI0iL53TKiZz1L8dmrhdQg6JmxWnYxUecHt28zpHvYum
JE2L0GYFkXjVaQyks08b9qnwmcJthJyVHMmg8o6mo4UXTlJA6AJ3ted7KfU1S/Ryix3Su/UTn4DP
dFJip6ogcaeH67OF9izSVdqNwdbA0IF+Lq/Ng5Om3aNb2O6ObFf96Z/H4XeZqM7j488fhwSHI2b6
g+chr/ryPGTJptM5I6ygfebM+m0zZxL9IXUs4KAPeFjyKPr9ecgTlD/6XQ36m1CUmGTlvHQsj78U
B8Xfim40MVt8PVN5HqI6Re5E38+PwJLup+fhOPioN2ykSMlcOhPLhQLBdR9arX9l2ksLubcWayYF
MwpwrQtvJ6UJTzD8rbh3EPpRpMOEqZJ157Vi1Uj8TjoX/cpVGvMOsTkRVETYIz+flQ49s8JmVSNN
T79r1BGrx0q0rtTrpdKx924D21Zp2yPPblZJZ/i4HlC+D0oDHyo1fGij9Ff6ePjcjz2C+QjhvK0U
9MVIJuq8JdNjWPRKY58gtqcUf4DUuke9jZ9I6fFNpcz3lEY/QqzvxSB8lXq/y0wyvhD0YyXAD6A0
/q5S+2PSLFZRU31aGAGQpLdwXtDlTR+DcgpMEmqr8g6Qs3IcTcwEeYD2XPkLRJOr82Aol0nJINMq
iMiDOcXguB8vrRlRmIlZoXP9TYe40cDEYGBmYBe8bSyG+pgczNjolyiEkJb2YNoAwCeDDzNGZ7pq
QcsDYycHR8UxME3A7dpn0Z3bgUNP03KXJcF6LOK71NNWRAJcl7V+SQTMkvMoWNYyu+75lXYsWhCj
R3W+bTXD3bh2eWEA5cR8SN6s4x90Tj6CZtGtfT8NsePX18bIVPUFiQzrzub72anN7VRuM6oz0Fw8
XqYZHADqtOSbKa0Ni8hhEZndN68JN44JcXVw+eOoGz4qYTTLmDEyW5xx107hSeS+u9aGcdpUbfg5
aHg6gbQ/02nctfN4bfTGi6VinYv5Oepjb2mzW147gXiPzPFi0IPpJQ2rZBG1JUtG9HZuX/dE0VW7
WNbXvkcCVe1qh86p7qaIj1WmHVvDwL3yR2R2sJ8/hepJQ5hOMrHJ1rYnfTc7n0ZciHVktA99m4Yr
yHfID13zlASetZUaKVT+vB1LQ67qrK+XWhF+C5JqXuKWmzcuO4xlPBGioDXPEU6igttmmbs5RBls
KeX/sXdmTW0kXd7/Kh1zX0Tty8VMxGgFxA42xjcVssG173t9+veXCHUbkP2MR0SM3ohHfdHdgKpK
qcyTJ8/5L1Y1zmsPgr5CwanvdHdqlxIW3tKXEnsxM0f5KVTDT4bre3MbW9dJ5Q4TVjMat+VxbEUW
soiI4BiCK5Dk06aw0Ysyox+Vj2xboq/byj0zY0TQoyG8sFV5lWsIu5mZs0o7SIxg1VtK/UiEiWoP
DehuWfSJC+BLUyaqE69TJJlGlMXou57IlfegRVoOFxhoi+TboM1U4xMb1W2vSkCGuy+Frwcnue+c
jD2yb56dryD/fDFh/8IDv5UQr/M1+1LiQO+jb5zr40WSCBUy5uaIGvYsV9JmhlHaTYuyNnnIsdcE
yzL0nXnUO9TH2t78WrXVCft6c+Pa6NxA7YD+3K1MJJw2B9l/Z/qChP/rre0EUOb7jU28Z7uxKcaR
CcufUqmO/J4sqPbbjU2B4edgqUj1V7M2Flnbjc060k22Osu0NgQIdsptog8axTbZC6kTY7/zx4n+
6wIE9WihQi+eAcagxoHxzclc82NUmFo4AUlk+osMPNWszxLdHq+pII2tYO/77mjOdb+VfSwDWuS/
Qc2rChYC6gBKXcf8Eui8DfEd410baCjil52BMrLSm0WDA2Lsa4RshHcxPNbjgPksuWGrziTXydKv
Y2nSy7CaxinTmSXnrb7qDaODWoytb1itrbEuxxGoGC1jedr3ZetUTG6/XIZV7oDLl1EM60twrV2n
fwKoiQ1JgBpUk0WoJ0chKIGia1dwGIaFagfphYXn5Q0hpPsmp4ZBty70vW+tXvaLGO2rs8CMsjkF
VvcilAx9gVuKf8xBjoO93WnDNTp87knVZN15lFodEqdtPSvd/AdtbgS/AdOUazsgx41rGIRT3zVw
GjHC+g7KQDJlBA1cwWNn2fpxdwZnDFrIGCxjdL9v0OlGxEvz4H03cq9D3SN9N+pawi5HHi5KuQwX
EdX9hZ4rCC1VFQ46KAKQhoxtfVxgtgdYJ6e47Ti++lUb8/HKH8cQgL/aqN9QWjZQmUM3cyDX/iKg
RjOF4tQVKYI3G+2kuWya6DtDmp4UjqncKnRYoYTQ1DjXcRWc0Gz3LwZ2y5k30I83gqpaOg5CouHo
2Be0cvFPR5F96gzPJD1v+K6bWOpCWas+N0nWLConRJoNPv05Ak8oq4PWixaDA/VL6QvzWiGyLYLC
gJoWaPmsbuRsRTGpXVVVdOoOdL/o2tuLAm7ljw6b92M7T7zTPgt0ni20pPPARZMxCSqK+NmALHRd
N+ZZMdjpMvfw0YYxgU6/UdZIA6iOexqXkvkZL5B7rJrUM1Wy80se311IdIHPq0wFzF6W8uUw+hRs
2ZpOvCDF3wQDoHO9yocbH3LkrK26Yj4EDfjKdnQXVVFV3uzfh4bnQ4NO8e7XkfU2QEZwyJr30VW8
bxtdVUjXgNwUuvNIvRqi3reNrrTpyPppuZkOcY2Kyt/HhudeHC0rUYm0EX4WbbqX6IrBxrPPO7Vy
0doSBht/AOjDK+ftsUHHjwB5a1GsMXmUN8cGxW0Ac5RmdtWXsrVIBbpch18ATKg79i0Ile0gqMJy
J1/yIeSVHJMcIkRpRSexwLkHiVud0+rrJ5WmFbdhY+rHRt9UF13k5o95Df7CErh7P7bQLvUUukS5
I3XaJFGk/qoqk/qyCEP9QZLNeqG4Kg00dNaRo0zdlKQsdx5tCf5DHxuXngKCCl4nPRrbTD5BMTAe
4tYqbzvVaM7ryrdOIFdnxcRqpGihGEP2WWuoF8NcVp8yo4m/GHKcHntG5czS3K3WLUezuS/DMbZK
knYr7JC59Nv8uhMkkAaCmhd4+azFAaq99CV07L5nlefrKwXGw9AvwCo1S2WsG+lJ95zQv6A/RxJa
QGEtsRrLU3Tu6b/c+tBBic0N2N+x1kaCMmwKGB6yp/sA6rMYABI2rG3eAehABTBYmRK+1uTVsF7Z
h4pkrnYOPrpu/2B2sbYeJBzfwAea6cLzTeN0aMzhtu6yca0ZBmjsFMU7DB1oWwWe4gDOb71vzKRg
KqfjuHYrf3xCSvQLhIZF6gWnkrDsShSTipABI0nKO0+Z2EozLCMi2spTqKVEorVn1HgLTfokA+MW
dF6wqJIa91J4h3jHRcW9bgXxSUzjUYvAfuUS2AZf7sja7bLGPKQyb20/T05qCR2fXC7Mi96BvJSo
NFcnam3AXmF/e0Kl0fkmWZ10qsU1jmh9chnaijQr67ZftpJU9XMOqkU9QxA5/2FJGfItuZtidmJX
J1gcmF89RClmowMqu3ej8MwK4XtU7NUPimtl024UAKRozB7GppdWTF7RnE27y9Ar3S+oYHWfUkEb
aLI+uJVQd7zyBeEgRd4rnqVwuCq2NmRTObT49bzqjYri3gC5GPMv81ht1SfHbCe4d5xafaddD8jF
ov6fmcpTLkgaRQBZ2skrhMJJRib/jsXPsVglLfx1LD5flwE+3DtKOOJ921gMuFqDWmWhVaFboqX1
UyyWjzTHQHYZdAOHFwL4P4kuFqyIF2/zWRpH20TXOkKSn7QYEyQE4ABH/EkoRlXjbSgGsqOLrQBs
hs5jvGl1QSuPVGtU/ctEHnX33GdFfO0V2bdPjBJtmqtM6ozTsSnMr6av48bjSCnn466X6AuOVvXZ
8fXs1nECY5xSoe2yhZZa9X2lUXqBJQPQzvTDbKIH0udeBaMFgRCtWFWNkGg2YWUgWoA7WdOad148
rDtvXOMfp6NMemNWNu45CKKrcRJcqoNFQhSZ8751KdSWp74JMwPSKYDFsq2gUw3rqChRd+ioFjSq
x3LBzgZAmR1PoV8v4hRmk5Qi5mA0zonu0eNsO/c4T8wbvTVuEhrqs0izHge3vxhBjSF+pKyLtLjN
NfWrb9OizTAPWqQpnDVPHcelHTjJNGszVOV14yY0rTOqT1/UJELFPY3P4EcR1iMAm65qz/TKIssv
4ZolXW5P8zG6QQ7kU6GP+bmGmTNAU2rKMF16zNRo6lKYprIcU1OotR6/F8hzZyluQqOVfwFW3k4r
BfhDI5dPY1UO88gRRiBVcxyDQoBec6xESKBa6KjiUDPVdZI7W1UpFAkUacgY4ArSTT1ksI6DlP/S
276ZpE72OfWjR8uJrm3dp3EXf1ci/87M4AzWdaifuYZ7EuTSdZCL3oVh+VSDBCyahNKj5EjBU7/x
TfNOLxNQzYb1aGbpahy0m3ywKafJNpEMxTCU7bMQzYl+lQYKApbEaoAbyziALKUKQ4QaVaumSD+H
ZhXPTBTeF0ofzM0cEVrDpF3XkRyzgy7AIbQXjQ3ywxoqG8Un/aRGxegzwtg9+kHN9di2iIxpPsxu
kMSFJIMaHJpP5RB+cxF/ODZ9cg1DlxdUde5N1f5i4cKllsqa+iLineIx5PZGGsiv3fEyhi+GhxE8
OvhWQ3YBr/YsdqIrJP2/BqaTLNJoRPizR/tYR8voRM6HVW0y7RQjPMsw8rYT1F98yb6XwCRPamCU
UyXE7F0qgYN00YWRJ5eaU650x7xqKxv5ZVF98ix9IWnFV9oH4HhVkMKAy83MOs1b83IQLhFIRqwk
x10Aj8xAjVd3dmh9M6X+nDPkk+omd1VtnSjA98MWwIPsWxgaxw7uQRnfgxsmj7HSscRGD839Pm4Q
zzUv+fBir/C/FKXBAUpOLlVXucLafFE40Tco+lNbbKAoNUF30pKrGpGKs1TzV1ZSp/e+CTIlHpDf
xWUgXklxk08N4eXgyqY5tZJk3bmodsOuv1aQyY+lDK1PioMT4ArHjj2exWl93igRFTDsxsxkXWvK
6Whw0069DtH1jl3nxMcuo4rlpQ6yQcsR5w5cKq+0F3HOQk5qiJBMVsVpV0G/2vBPnabWVoFSptdV
H7nVaY+0skCctgBbNTBRiIYdK6F93yRpjFh0QtUV99RqUcRyvcSDlEpfmmEb0uvqVT/op5IcKBc+
C2vKd25cpkDYJ0Zb8uXUVn8/Fql3Q3MoXpEIGMuaISCDkOJjBYHsSQ4XRINQ4HrypDVrH2oCPk5Y
QXHrIZeVhRS60b+36Q1+UeAzfr1N3z3562THJi3etd2kOTDRYlENndYuXZFXfWcNv2fI/aAmZNF2
pub0sksL20GDRrCN7yqlLFAF/+zSDjUsISbJPv3SuPmDAxM4yre7tG6ahiLuxb5vCtGr133nmLMU
0vn2ZYucZDULNe2TZ8jHYZpKp03szRVEhaaG1A4TlzZk3+GNmtGQmCutc1pTiZ7mFBcWXjjc2VJW
LJsQdZhUoR6EmOQ8bPLvntqzSjhVUGfF3qSRZprUfK7sUb8ZkrBbmqXpnvn6YCITZc3MQsXgx2rL
c4OAPTE81V/0lvKtxuZPdpv6OO9SZHZCYbki7PCCvrmhz3htYexzXeRJPPWizp5xMMK5lWPVJMZI
h33EQZTSoTeT8FR2Hy1Cr5FYkmhMhsLezW6CRyWlAT+rWhhDdRq2x6YQp/DykYKzFnmTyE2VS1cl
5eibVBShnfTYUiix5dx+FOZiJR0t7oLh2Cisx0r6zzMHN7IYV7IQd7Iel7K6BJtYp+q6hv+4MoWV
WVa3eAS74Q2OOlNIDatWQpWzNDU8XxNEd0YwfUJiZG4DDpyWz4ZpCIjkY3Xr4KSWs1+dGMV4RU8X
BB9ua1phfc9wX0PPUdhr+NBIEaau3TuvBUnWocrV4txW4uAm4+RGdb6aqcLcjazGWuZx9iXs4lMT
/7c+xAhuwBGuF9ZwTe0sArzijNR5yoV5nIJOJx5ttc02wbDgcgYSQDjOBQHNn0i40KnY0dnY0kXC
n64TTnVxavRzSbjXJcLHbqyqe7OtHmyzn2a6inWvF0AR9wJEPLDBy4QfXiKc8Xrb9GaV3N8hwg6J
S8V2N2hleLQjrSiTMI8Qe3OVV5jBgP0L5+XYfNfz+ktL3pF4qb5wNeUx5/i0gH9Wn6Z4ZbuSrS3g
OLQLs0fJgz4g/oRM12WDHjnMMT0pJ4ECjSHXtROpcZylZyf4A9sZCyGzfwyhOdOj6puWd0jaw72f
K2EFOd/E4jLNTZ52SKas/Xyap1G8CPDdMH0Xh3WY2NMiYI0geEG6k+Ew7CJdw/EQHwtsrzxslWZ0
MC611j1WjfTK79NLM7JPJClYNOpJgrF1d+5wzUqvb/Oiq6fmYCGvZd5bSKNEKUlUp4WDsL9eRgqw
R/jXVVp/sWJfnmU9MlZZmDvzyqLplzkImdZhusii/ByQ/RL5kE84zZxEhXdWJzkpn4o6NxQpNW6P
9QbJR6uj3VH2/WUSq+MpFjcPfkWB0qRCANvbOgkL60x1kPiocRKQkIOwKyyysiiiBon0wMzzFRsX
BCUAORCcqU1wpiT5Q0xVkrJC1Uyw1UX51Lhvygo4TKQvARk4eG4rJlu9TisrBQiC+hSI56ZeIqAA
PcTEl14akpvOdO9Hl+crcsBuIxCPseZ9XhL3QG/jGcjKE3csn4pU0+fqiGlqAUZX9rIRbjaIE4dh
nba1f6+62nXdYXmnBc3A4bjSZ1EL6CUq5B9AXFZ6EJwFiJFAo0k0pnWBQ0HwMJranUvxdFq6mTXF
qVWi2avcQELlsI5qhael16oEt08ZMWhyGvxe2LOL1HbnatVel36zdFP1rvWrc7mVcCjJ7dOgBBPs
Wsl1DLAVD3bp1O/iT4FRA3Ot+1NzwHGctBGMJfplKHjHKHZ0ESV1jEBG2T+HaiZNDMTRZlj7/PBG
967IPUSFFVQFtABiYu+Hj2VORSqjFibb3TjjeIiyHuU8rBel8bi284XVWZgXFbQpgBXPpRYVmsjx
bnstmDcqfDs3XzlO0lIsL08BFqBqp/joOBTJsNQ6s0FrODMWbjJ8SUp5AXp9Tds9WPaqj4RM116g
TfZJNdoz+nm8VYXg2OqLEtZem9mrIC+Pw8qtj1Gnjyh40Nsnt14OlvJ9VPJzwyNm9442NxGYKZTy
qQ6D87ov1mPvzS20FibV0NB0VR4yCJNQEtH06SCqRSjV1dhPejjatkwCkL9E7hzvdJSGjSjF1Gaw
7vImOB914ymqCZSBZmbzNhYsReqINVwiRevKCbx13LdHOql69zlm3kIh1XET6nBMa2k/stCuEbmg
uSl0nGQEndg7y3kW+A29StSeaBWZl7ZQgKIWpi7LqvwSIA5l4DA6zfDJxPjmAV9Fl14onc0KpICQ
yFKIIMpiRHFKc+1+WTrlguf7VoYwZVM7e6yETJVDsx7de6SrMHMyZi5qVux58EX5XZf7q1oIXnEe
mGpCAstJmkeQV4iyW8Wj5iMEH5LPu0I4q27dczyUGhR8EdVyhLyW19cIbQnJLVZZMXVt48KH7TjL
hTCXFGSLDKUuoAj+3CJOCgmvDi2vQYh6BVL4NULlC6DAVIOvvCRtX5JH8B247a1i4FletIV1OkrW
CVKrbMUpIim4d1jTQBkHtDSU6tIZdbojCTJBUTa1k+6yt5Cu5ux+JmtBgqp0/sOWUm8Oxu+hyyRl
LhUIjXmpuY58GHA5nCwZqtk15+NzonnluOc6UCc/0A3EYBpqFZDQgEJlG1xUGciApBCjbkcsmAR4
6t/lrk25i9z213k0npY7mroq79lm0Yp1BILDUsFnbsk827YDVTASWHg4hkIyTX/27yxao92roCwA
l+vvVvA/tS4d/Dc5r4kDJm/7s1qX867tAEKJfoNCLm+CenxuS/yMKh8h/Daod10Q33HVgsWWo22D
z7GOujidKjGpG7WdSKrpx9D6qdueD3JSNfMGyOTErynln5OEylifqR738KYEGLxkXKnRQ2cOaQS1
LG3sDLaxrsYQ9r5rEgk7A4ruUoL+iOTkQIlKVKpxHTb76ya0sIfDOsRbWEYJDrlP7wFkBlNN145r
Ua2qqram1g0jpAxKVKg9qVq4jXwXIlBTptglZ7gYuoN8kw6ktIqCbAiykas8S1Zp4Z4pXf95wMB2
AqfD5dSZLJv8hOqGS/aWo+dkhsE0smi4ooYFysYGu9i4eBS1PWBMy7lCRquZxOxDSOQA9OyFD4Rj
5bMusU+FapHa1/0saNovdW/gPe3FqyTAEAsz5asqS4dFZ2L1YzYOwKG2qKl4j/0swuUZH7GU1qXo
h3PsmstGM8zChuDU2e2jpPcwJsAZNbCgp4mrPPZ9ngEDqxYhUJwAZv4U0gFS3eA6kX393Bjs5WHR
ndFWQgwzaHHfy7RbpBUWhdWoC6COwK4Q/nLpSZ/oPgeFXs8uQjW7KYoOVWvkfbC889HhAkOGDwUa
OxCiv+nIoxHLURLUOKbH0QwKBw6ZuXequ4gm5MhGCWMZ2gh9SLkuiyAbWRLVmvo8wRZgEcVleIZw
6hIBhPuG2uGUFClYagMeJ5LpXfVWGVArqqdKUZ+2DVoAhVzee5kIr5GxGgbltvb6OQ3jdhLC1onS
8AalhbPA0GaRRQpummMwdzHoRmdMcmHwuv5U7p0r2cjQXyu0pyxWqmOFKjZW0dmFoaT10kceIdWi
Txizf04QuMvy4lLyoZVR+IM2HcNhEcKyYZx87ix7Jsy/G1l7kLFnnVlUMtouvu0jA60LwSJ1car0
bd+YDlXYMtFVf5XnpTLTHFB4ftfdp5YquLr1fe92nxW9utMrhAkQslmmvnMZVgYCdzhfG/U3doUU
u6aumzZWhO9ghHqXjcGmVje3GJxFpMMKTl2DBxVa90AUFzeNOT5EtveV/jgq8wGibWjGF/OwhdGk
y82nNpDByWKwPstMH2Z+dipbzjqlwEsfrFCnaqbcwkHBolK/yyt5iTzXVYcJ26QPtFuO99AXfDlB
mEG6oAV3Hli5NNWiYNEH8T325LhOKcM68cb+OBq846ZFvAhQkzNNJYpPWoLAPNi5hzClYgsvjHNV
DxXPkcFKA1fHMGssBbBikXTYGLpqjCsVBMuJKWEpWQ2XiqI/lTFgq6wsLijnfsoK1z8tE2yiTaV/
igLnBq1azitQARFN7IdJNQ4/upbqK1bw5FCeqk9VG9m0vKqVZWx1QmQZrwSXurQJ+mYSKagwZXmA
Ns+QGVOA6MeR169Nv07ntZmm8950KKkV51iwk1r1yB/1GEWX0cCEqi0kQ+QfZaevvCw4HuhtpRag
PtMvTiwtwtAXuUi5LNqF3UuwARtK7WAcT7waHSEQGBT01fAcmYpT0ARoQ4YryKDX6E6skjg88evi
1vWLH3WP81DalWdD5l6ivXKX236ICinlOCjd5sohLhIbM1ZuDJQva4T5d3afZtDOOAKxZoFqGnAn
550HQT5ou89OVTeTJpNY02nOxYPooddqjeXYAyUBl5rYmHc4vYop28AZo3vqSohalhEG83TQV76Z
PPQDI6o4zW2MLMbcbbPPZYjrq1ZJn1XSUN+rYbNHlkyuKmBv2XdH1QH1yD9ahclAhfUux8iRQj9M
diOuK0JEintGYl0hZYhZmqsgqMiJII7bC0OKbvios67xL2EKYsCqw0f0WkmdjLF1RhVK4yAqn4Dt
CaYNOeaJ3iFOk7vw9hyEZeLgKemA97l6RzG6G9NjQPOfUBIYp6bVj3RzntFD/86SNlkSacXvsqTH
7Dsp0VsXHN70d5qEWq8gpNAQBNpN3fCnjiDADYOASDIEef6ZDr0tNiq8CY40bkloLf1s/A1Rmo4g
jBkNjSbwl5Qh/6DWKFAeP9GkBMVFpxcJ/gOYk6xtCM4/JUlFVug1K8y/KpoQ8QcUMCTOcdalogY+
7QtPcqVxHuVZB7S2yUcZOenA0t3ZUFOxWKDro9S3nal4zg+gX8elhAjPGuGiUJ53XRpLKz505Z4q
fogoH2qPElosURok1Np1H/E5paG+BxbJQD9tGpPqAyq1UgvaRztQlqC+RdVumGC/aY0TuBa0/K1n
kEMcGoigsqMax4VXsomlCSqHZtHF5aX3DJFokC625h4AEnMSYfcoP4MojMCpl/+e+s9TXxS/fz31
b4OnstxRaBfv2s59VYbwr8C/Q+AD8LbD7NseEajBo/VFVq4phpDEplG+bYdTTcd2G8DQC2qJC26P
CHTX8UCjAG9YGvS+PyQ0iEd7M/tp1bME6YfDQWVJvS60j5xxfTULwB3ZVBfdZETvS/maeY+yw5yk
gFHiDIMvL7YPmOecdTk/L1Xr0oQr2xT5ArGdmxh/GbyGphwN+mUV+V/S0lgWONFoKfRZukyTynqA
e5aTDtS0dCNIQBb2pMLORvWaT2TZd9CmiknjADUsCqWeQdp5cHHDIWasjCGcJ7jkjDimK7jmIDCI
2hg+Or6RztGmsVApDo6rBvmbEM8dxbOOIczj5RzV7HD+Q5ikn0Zcepyw+MLxi2MJ/j1Sl94XZfM5
UhJyQBx+SkdajDj+BE4ERQAPoNzBKYqS4swOagRWkQycWDgG1WQ1ER1ScfBfWngKlRVcqQGXoaJT
URPAPPqE5isWWa6+CmVQiGEnHdPTRUM3gD7cYNCQ6f2JSrO1y82bLqdVUCflpxivo1iYHpmFferh
goT4OHYc2CLlcn+Osa4x6TxLmht4J9XAUWFMNysdVyXToYBd4LM0KI+IaX31cF8abAO9SmHINNrd
10hYNMWFRs1ff9Isog5iJp9MYeeE6DUCmLq7qIXV09Bh+iT3A2WtYWnb3TwHVIa1PPmrMIrqNqZR
GMC35QXhT/HnLhS8JXYJRo+oVDCAaMvl+iSzbW9eWw7erWqNFlKRyaUFs0132zlU59pZx23RQW82
1HpmRjJmzL3WDfoUlBIWDDHdeM8vimmuO+dJUxRzOdO+p35ZTCQXKoGmo6CK+g3/1SEONVbfTbfR
p05U/AB8Z04G5JSGlO6kpQz0k43oxhrpTVuadSH5yNzWas41SDwzyf8S9/pDaveYkPXtbd5E/hTz
qADOv/EY5tUPdeifgB4PE/gfnz1TZypoGlVQcpkIcb4ylQK4ebU21432CsiHx0kgOtb98gE6TL3Q
JD3Gb9F+GGrqmrmOaJtpdY+VjU0WLshCBLoGKBdUNhYejncee2TeAO7QF/VO8YN91Ht8KBPmC2pf
RjSuSFKXYZZftxpVRR+Ps1y4N5iZJ9TNJmyo9JVk896l6bQ0+ImtdPfeWFzTK57CyKvOuuoBvHM1
cQcpW0kouAczLtVTWYs4o9GnN814Ikk+2OWyBxAg9j30226aIfNOIiQpRjO9GOGUcDamVqyX+Fq1
FE+LISpJFAin/x+wCV4eUZj+zZ8zm+sGRufNU4VgdLXNNsRvrzJUtu+y/90f/f5CLznV3ZA//ed/
rB+TIIU3VZfB95pu6Nt8SwfX+mqnen6w56f+7XXiNWrIzSN30CwYCjIbgYn4pXhxlzgDmbj5tYQ/
EVsZeZom4LX/fI2/G4Xff8DNcP7+b3778G8HQXCk9xwE/UiRgZvZ2ssgkKu+GgRKftCrKflsmN8/
zZNfzYTff74PHwNl/zEwjyhqivKkgUaXeL0dA2qb/I4JQdv+ICeCSPL3nAjWkbY5Y9ibMWDOv5oI
rAbQCdBO9Q1+/f94JvwcEQy+t//F5+cD/hwMBDiEUxHMJPFiQF99fFHfhuOCN4uyGZ8DnQkvU3Rj
bP13qPqjuKiTpqswo7bL4e1MgL8loqJuKRQeNkN1kItC20zUfYYCCjboDOSh3o0BKF2gRMTNl5hx
oNNBJZ7vFxioPtDrwTJXQRlBvOjsvFoZnPg4zhk4VW/u9X8cGHbkCho/228Q6GEZlEyEUvZmENgI
Xg+CGKVnoDUqPwe7JnQefu+hoAeI2h4oNbT+xOvdUKhHtAjpwG1G/QCnw0eMAfqHSBduV/+uMVDZ
LBFDPNDAIO8fHO0jpCFg0WqoP4vX2xipqkfoWkB+UPjNYe4QxLI9A4N1BHQMPzaAm5vX28CADRyi
WYatbWbd4S0HQc3ecxDsI13IcJMePQc/YSLwOjo+76Mm/f9Nsn6Ag7D/Psk2aAl4sfYyCO+Okyp6
pxy2bHUz6w5vEOTNOt0nYTKPLE0xUbV7yZKZ9K9mAmk0ojb8oxzEKWJHsiB0dvZcDhylZBPOEcqo
z693gRFcOdI95M+HnCwIVaK9h8I4ghek03MyN5Fhx7FKbCLggzZR6PAWhZCm3Hs+0NjjGCG/ZEzv
5oN6BLcAXoLYQrnX4Q2CMAjdcxCQiLapNAE62L0oiAy0YxSEOQ52EPbPFpwj6gdER+dXe4RyZNCb
BcR2sGep/StN2pFjywjHv4SE96UW4ieyY1TbDjVlMvbfI6g5ajKqsLT0n187AiMAAgpuAj1wkDFB
1ET2jAlIVSBDYYOT+EVM4KxpgHoAGXqog7D/7mALLy0xDC8zge/7Vcok2hAWqHjMmjevAx0KZf/I
wDGBUhtMdWh/4vV2KBCVQqyZ+GltYsehzgqhJrXn0rCOHDIGXQga7xwKZgWWC4gyOsbz7w91KISK
9J5DoYsTtMiOfn2mwGtTA0j3UqE80AXyTjz5z1uWzpGhYk4PXv5tkKDWgqkM3czN1nR4KeTLqXef
wyV9B2oMOn24X6wJKo8oGAmQ0YFOAX3/FJJBMNgsIB1vBoGF/3q7wHFFSLXKL/c6vJkgVPD3DAlQ
SgCQgZ982RLflhnoSXDMYJiMw94ohBrLfkMBRx1dRAVll3chgda+ieswpfrDzhv2zyPNI5ThCX0c
sbeb4es1ASjRpBRN7/ZAA8NL+WOf6Mj5GVtjTtgvg/A2eRJ5JAZJNOo2QejwAoP+EccqSi0K9k8v
qQBz6/VMIDoCJuXYdaiDIO+9RdCxJXME0CK6M+JFvH09CNRiZF2jQ3eo+6TAYu0XF/GMQE/jufS4
GYR3M4FSC2VJUPCHmjqr+7fozCMTliKpwq8aMwqsTTCceOwdaGB86RPsFxiZ7GBVAHs/v/ior5cD
xiMKtFUKb4c6CPvHBFoOoO6FAfjm9W53kMG4kTxzzjrQQXgphO0zEzhUC7MYTs2bQXiXO6PXZ6uK
glP4gQ6C4CvsHRgdDSFtFY7G8+vd7oAWLDMBDtKhtuiE5+ieg2BSWOQcRdK4GYR3BwjwPDIyy3iU
HehMkPefCfYRkCbDJC7s3iJFs5aXQV/7QAdB37/8SktGQ++bNGD3IJA2I1HAAetgM0ah0LDnchBF
BVSktw3rdxmjaM6RNtO2OtQDlLF/ssRyECa11I/eJggk1AiaKBynD3QdvNOx/fPSItYLeCsgSPuS
IbzdG5kCuP5a8PdeIJAHOhRC8HzP1WBQRlRNzsqcE8Xr7VBQXULjBNdK9VBXg+ic7DkINgVlk7BI
J/b59S5rZhBAwwqB9wOdCS8Hu30SRtGvZ1uwsCl5fr2bCRonaWxENRExGfADrKnsvzlwkkYrgjLi
Bq30rivHcuCXdGgoOovXoQbJlwfbZz7YqIjSe2Qo3m4RlGERY3um6B/yGAh58D0DA6mzrNKGYqvc
vN4MBfQQUinTBLxwqGti71xBlNhgsbNLbDsQbwYB7DPmwhgLHyyQx9gs0z1Wg2g9gNujTf1SbH13
kqSwQjZFX/ZQQ8I7YeE/zpsYBNAIJoypX3SnmQnskZwjBdjnkKPjR2wUuC+rfNsvHYh3KQPFdyCA
cKT/oLLwP9hS/yYoT/0gfnymJiOkuovB/Ks/2HJW3//+J+LxM83w1V8KqvLm5htmrvj//3rNXH5O
CX767TZFeL7Ty/tfPuL7m7+62fZzbX94jBrHuvzuD8+/GF4e9GKdwG3+75h/Pa5/JkmSwWgiYm9/
tptm/ffe8Puroxv5tL3QyeN//oe4uPjStz/b5+LJ+jErtxf66eLEkH/G8T1B/H/05JOmrnc9ODN1
72tP1/G65Supttf66dlJx/e//u/sZJ85+3uM+jRL63L91zSr6nezhi+W9br388+e4r8usnLn+HOE
2Pv68/ivWVYyebbX+mn82Zn2vv6iRJx518VJc/a++O+s0/f9brGm/ZbFj/X2Mf8ZFwE/2PvRT5L8
qQzW8fZSP13+I5bsb6wm9x2Y1VO5w65esB72HpRVkHo7AoEQK9j72mfraEcME42yD7h0VT3tGpOP
WKBnWfXXf6feU/y0a2Q+Yomerx8JwNtx+GkifsQSFW5Qu4bmI3bUf+E0te9EP39KEa0LdkUvUSTZ
e9qcP5Xfnx63F/pn3AW+YP+LZ78W3Nt7YH4tefwBl66fyqdhOwI/jcpHrNSLdb5jogsQ2N4DfvHU
rt/njgZ6yh9w8ctyTQjYXuinQfmIJXoVr78/7cgdRZ1272G5iptkV3InWrJ7X/wmIHWsgscdIyNc
Z/a+/u36e8mRIK13JDBCHuEDbpD+NXlKg503+Igd9XYtblCm6/JxZyATWkgf8ilmwZO3a5Q+YtWK
D7FgBXwPqu+77vERy1fc4zRbF82u3UowEz5klM6aoPrr8ltQ5bs+x0csZvE5ztf1067rf8R65vr1
+q/Juvy23pUzCOLCR4wU95jGu+/wMQtbfIpp2Yzbx/0npgo85f4fwV/vPBPqH7Kof6couu8O/C+s
lPe+fBavd2VUoh+2/6iTmOzyNBNiDftfvF4jsBivmx15uNDV2/8GosyyYx8WcI29L/5bu7d9v9Q7
cvyg3pG0iXL5/o/eEAl2bPGCtPMBF6dAlOyqywnk3N6X/8wVml2BUnDD9776QxbviPMC1LH/pZtv
OzJlYVDyLy69qyz7d4v3fbF2q2y4622va9HiL77HT+vyv/4fAAAA//8=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00000000-158A-4147-B811-43950A5C847C}">
          <cx:tx>
            <cx:txData>
              <cx:f>_xlchart.v5.6</cx:f>
              <cx:v>Sum of Amt</cx:v>
            </cx:txData>
          </cx:tx>
          <cx:dataId val="0"/>
          <cx:layoutPr>
            <cx:geography cultureLanguage="en-US" cultureRegion="IN" attribution="Powered by Bing">
              <cx:geoCache provider="{E9337A44-BEBE-4D9F-B70C-5C5E7DAFC167}">
                <cx:binary>3F3Zctw4sv0Vh58v1VgIApiYnogmWZtU2r20+4VRlsrcV3D/+psl2T0qFuWmbrgeblX3TIdNJpjk
ARKZJxPAvx/afz1E203xro2jRP3rof39vVeW2b9++009eNt4o85i/6FIVfqtPHtI49/Sb9/8h+1v
j8Wm8RP3N4Kw/tuDtynKbfv+P/+G1txtuk4fNqWfJrfVtujutqqKSvWTa6OX3m0eYz+xfVUW/kOJ
f39vbSL/W1ok/ub9/jXy+/t7X4V+l1bvrLRKyu79u21S+mX3ocu2v7/fa4i8f/fb8HkHur2LQP2y
egRhHZ9xipkgBpXPv/fvojRxv1/WMCFnBmUGQwb98dirTQySb9HpSaPN42OxVQpe7um/Iy3svQl8
kT8mfImH3RfZoeACIL+//5j45fbx3X25Kbfq/TtfpU+frOisdPe6H++fvs9v+zj+59+Dv4AvNvib
F1APP+8/XdpH85+Q3iTvzG2RbIpHP0l/Pd5UP8NIUCwoRU8/QHUPb8zPiNSR5HIA95sVewX08Xam
QD8ueWIdYL0Jt0eAXZ4hnWKO5HfYwU7swQ7DXGKGDcGNfdyn6jOO9p70BIz37j8xZC+3xQOYpid7
9CtNOOVnFBnSEIZ4tuBiiC060wWWHHP9acjjfYSn6zWO8UB+AsoDiRPD+RNMzlWxOQLQ+hkRYLwR
5eNAYwm2m2JkIOgCzy7C81z9BpXGMR42MAHkociJofxHBF7Q4zFQ5mcC6YKIHx4ZHw5nckY40bkB
NvwlyG/QaBzkYQMTQB6KnBjI641S2+TXj2QdLDJmupDk2QlDQy+MoDMDLuvCAPRfgjxdo3GMB/IT
IB5InBjCyyr+mkaP5VEw5sLAuk7Ao9r3tcAHNzBFMMZ/hFwvIX6LSuMgH7QwAeYDmRMDep2qd38k
7jbaql+PNURViBFChc5emZnFGdEp1cEHG3PB3qjcOOpjjUwAfkzsxLC/3yTl5p25Kb5ujuSX6QSB
qZb4GX0InfcGPPhlhhRUx9QYG/BvVm8c//FmJvSAccHT6wPvbH/rHoNTIWccM84kGUZeQKZggwpg
W77bhf3JHD78dJ1eBX3QxDTAB0InBvYsemenxebxGGCLM06kwcgPvnQ42MF1g/AM64IZY6b+TaqN
Y37YxATMD4VODPPLTeEfwVUHdkVyHUY3+g74cIwDc8aATwXrPwi6Jys0jvK++ASE9wVODN3nOcqK
jjOBA4MGvhlwo68xaPhMCIF1prMDCw6exWS1xpEee7cJeI+JnRrqVVluiyP46/IMU0IIJt89toNB
jc8MwiB4kwM6/H6yRq9gvS8/BeZ9iVNDOI02R8lzQcAF+AnOvyc8gPTe88nBbCNdCob0IcKTNXoF
4X35KQjvS5wYwlYK+dkdT6p2lvJX56+pOEMYrDZ9jRMHnDEFZ4zjwfT8Vr3G0R5tZQLmo3InhvyX
6usxEAfbDeQpg4TWM3l6kMrEZwzSmEIfVixM1Wcc6T3pCQjv3X9iyN5vHgpIfyTlcQIsxg0JYxY9
kyUH+Q98psvdP3Q0nfk23caxHmljAuIjUqeGu78tjsKgyTOIlikQ4s+QjuVD4CJwbDBh736DFPb9
ZL1ewXtffgrW+xInhrO9jd5dpVDz9usn7F3BGdM5J7tZe/c7GN6Q5YZaFUhvDvKbb1JqHOfDJiZA
fSh0YmjvaMhLqJc7hjHnUHoCaMsfBOgB2pDMJhBZS304pN+i1Djah+81Ae1DoRNDe0cTZana/Pqh
DVQZgE04VJM+e2bDmAvyINLQuSBQh/b02ydT3qLZOOIHLUwA/EDmxPDedeh5sUkefPWQ/vjgv6By
GNDmAiEOxNgzmAdEODmDtBjUFlO48jLBvafRlG44DvZ4MxMQHxc8NdjTJI2PMcjFmU6lITkM4qff
QenKUzbM0MEUDGCfrNEreO/LTwF6X+LEEJ5DNf1RqDNjtyTAgAj79XQ2Fwz+wQM2fLpG4wgP5Ccg
PJA4MYQvof9OsY9vW/IBlBlhDGqTftjtoU+2KyMlYNVhlt4fwVP1GUd3T3oCtnv3nxiyi2ibHCNZ
CXE0QUCNHdacAQ0qBeaUDaKqyZqMg7ovPgHVfYETg/UClowdo7zMOKMEQmb9R3nZ0NXaFRjBNUhn
wVh+6WpNVmgc3X3xCejuC5waurAu6wjmmJ1RDlQm05/rRXbc1l6mCsDdpTggYTkEd6I+r2D7UnoK
tC/vPzFkYblg4qtoUx1j8HIYmwgMr/Ha0it8htCuOpQPMlRv02oc5ZE2JmA9InViiF9uk8f04ThL
LHcJqh2xyfE4DUIoMJzcoHTHfb601m9SahzvwyYmwH0odGJo7yL+deWrd9dffZUdw6dmsDSLGBhW
bLyCOSzoAPuOMRn41P8H1caRf62hCfi/JnpiveBLGh0DenFmcA4ENoJoeG/iJpDq4FDyD4s99sf5
VEXGgd6TnoDu3v0nBumdX28L5T8eIVFF6ZkUiFH63S079MugapBzBD73YEi/SalxjA+bmAD0odCJ
oX0NNLZ7HKhh7YYuhLGbt+E3LAeEOn7BKJLGMPE8XaNxnAfyE0AeSJwYwjfR5uEoBZ/iDPisHcby
FdYanHAOOyQg8twDBkN6ul7jOA/kJ+A8kDgxnD9svc0xshOwsBZzcLTYj8LeIVMC5YAEFmLpBn7O
UQ5m5ul6jeM8kJ+A80DixHC+9zbqGGWfgDPjUOAn6GtFgOQM1l0hAU75vu81XaNxhAfyExAeSJwa
whBanaebvDrW4htYeqMTSCQ//Q6SjRh2vABeVMrxurC3KfcK4iONTIF9ROzEsL9MgUP59YwolIjp
Ekngs78vlz1YQA+jXydMB050f3BPVmgc6X3xCRjvC5wYun/EsIDyGItvxBkstjIQFHsOA2ZYOskJ
bGGDnr20weQ8XaFxeAfyE/AdSJwYwB8qWE53jHAK0lUU7Rys7872SEaDyN2COjYYv9M1Gkd4ID8B
4YHEiSFspVF1lEo/qBBAklADP0+76GANBqyugp2qDDlcMDldo3GEB/ITEB5InBjCV5vsOEVeBCq8
dEgov+J3QRgF2xMhKPXcn4Gn6jOO7p70BGz37j8xZFdxti38TfTr/SsKFXqwVwXb0R2jXjVmsByD
QQEYzNK732Aefotm4zgftDAB6wOZE8P7cvO4PcraGgOKrgnU/cAWBj/Q3E9ToDPY3BfKNfGA9Jqu
0TjKA/kJGA8kTgxhSLPtuJCi6o8wpgFlDrwW+hEzDSns3XpnKOoDn2xIiLxJq3GkR95sAtojUieG
uLlbu38EsKHMDwONCTVDz2z1AdiwBBbqiSDbPDDdkxUax3lffALE+wInhi4UqMLuFNvuCAAbkFOG
rDJFrxXZw/4UzAACdLgJ6Ft0Gsf4oIUJMB/InBjSN1EFJwUcAWdYEEUNDptJfS+1H5Ziw2ZSUFIC
VBgdlNpP12gc5YH8BIwHEieG8IcKQuU4OYaxhg2kBGypDyT1q/4XrHzGWJADNmS6TuMoH7zVBJwP
ZE4M6T+izD8KzlAHBMMUKJFXJmWo4+Xwg6UXg4VR0zUaR3kgPwHjgcSJIXy1rTePx2BFgPUyCIcN
2L9HUiPZKAQlgNABBj72dI3GER7IT0B4IHFiCO8KFs0tHPVyjHo+A2p9YO8oCJn/LgXZj5chPYUI
gq2dByi/TatxpEfamID2iNSJIb5KuiNhjQgsmYL6zeffICOFBSybkoYByYp9nnOqPuMo70lPwHfv
/hNDFs692kAR51Hc6x16BuzyB2WaT7+DNAVUZcM2QxBKD4bym5Qax/iwiQlAHwqdGNofYJNWOLns
14dSUBHEYYUUVIt8Lxo4CKXghCNgTGAP7gEn8gaVxpEeNjAB56HI/wOUf67i3jvvzjj744e9HNlq
4o1n1MFOE1DsYRiwvfp4BLVb/ohhQwLYF+6HFX+5rAYG1d8n6z3//ZhO49i+lN17x+dX/PlHOc7p
c6+fTPf3QX/2ptzMno4IfHE43c+vPr0+nG04EP2+Pmnsg32/tHr8/T0DV+kFqLs29hY2vfyKzwj8
V2oLFYK/v9cwhlMxdgcoINj4icHuAtBgs32+RHTwuMDnhnV0AnrBbqugBHan8uD4QmC18W4pO9pB
D3tKwTSt0mp3CbJcULwPmw/BtmFQJggLKP8+v/EmjTo3Tf7+IN///C6p4pvUT0r1+3sMz8ieb3tS
FTEJJaNwPpoBpByFgjTgY7KHzd1uwS/c/T9lT9Msr6r2KmmonNWN42VmSgMeWiFv6ltDY9150NZJ
OEMoLL+UqV5/DHXV5qaSSf75xdcb0waM2VAbOKMP5jU40gvOCtqZtJfa6EmXhdKr6iuSJ/jKDfvE
MSueGp7V1mUqzbrRqy+8zjTfLGJR5lYeFKFrOr3iugWV0smjLEt0DW14lU2iCH/smSbwojOYs8Wd
htv5zzUmEOMeaAycJhx5IxmHo0/QQGOfe4BtV17RlrmubbR99LGGDVrpvORdysy6a3Fg+9wRZs+N
zje7ENFFXBcdtos6LR+9Vils+VrGbAWHc9ZmGXuoNnnBQnfmpoF3E1byPFbSUza4A/KT8vKLMGpY
O/OVZlz6hVfHi5+/1SEMUDOOIJkKu5XBRv9PL/2iU/BOcxsti9RVUjryU+oKTEw9JNA1sqRqb5q2
kPeZg6M/f/7YXV972RfhFBHYzpRTcFxgV3JCd2q9eCxDratnyk2uEtHjKxx61VWiCssXjvfp50+C
4XPwJAnBDoeTiGDDTTHoZ1mid31eeOmVyJC+yZu0iBZOKTpihpk3Q3kV9RZFnUitgLIm/qdOs+sU
+y8KHQX8cx0cNDgxZ/h4IMh9z01i/4rnIdvEQcU2YbTTgfWxmhlFmpodAugXTZQ3xMzDlG/LSKpV
Izt93Rq0QBZtgjS0Ap7EH2mREWp7ouu2mVZnNtL6mFtMpnqxZNToK/PnX2+3H8pQf74zG1AIAwd2
QZCxDxQyKpYw5miXuHLijV+UyjWxFpaJbtKuS9zzxvPDr66Q2brtc29upHrrWwTX/FvJ+z61Os/l
lp4G9dYvKH+sWebx858rqbMDkKlOoRPt/CZYuMo40Bovu5NRCB8VXkkvAz3PHCnsUnr9oi1bKudl
XVVW0eboto47Vpme53GrwMlCkSJbRHpGrDDK47ssYnFr8qhxPzdBnK46VZZmxvLso6FCYTt54lhV
GgS+6Zc0aEwnUMlVk2nqOtd6OnNdLANT650ktkjtxUtmlNEdCdwbt0toa0YVz69KJ/9QklijtlET
+JB+R8A26FXfm6gRwTrymPjioEo/9wyB173b1tJqkKfHUCPU+StNFF1sNp3obdwwze6D9iFTeXlf
IY17ZhOXfO6ovFrpDiEfcg834cLhGvbN3gudr1C2WNSmn+TaX1XMYzvLFFmFaZKtcC6jR7/ODBj3
NA7vfem03Kxz3T0vnKKyOvgOC6wTeZ03cTvTmyKfY9ziehbBvsWuVTeuyK2aeM4sVrSwq0xee47m
IhvjtFzCVEMaK0GBYYqSR3+2MfIuSCGze0ZLtqhkoJG5MuJ+I4y0mCnUBv28DoU719oWbYiKmm/K
zTJm9aRElZm4pHbnbRmkMDiaZta5dSXmRep4dlTSeJnArSZs5Fak8KHjmpuBCgLN4k7DTZ6ytjf1
MnIsWmpJvCiMcObqVYduG4p1OO+4QJEZQE8q57RspFq0lLdrI+z7yLmtmryMY7Pzoy4pHj3HI6T/
ohqt5bFnygJMefpAujgoaQGZxarK0FUZlnHYnks/7xe1rEpnFRe+n5kBidJ7xDW6CjpKK6sCDByz
y5FsAa5YCDtxHJgPyyhs8pkRNi6yiqjEzrWXI4Ony7DjjWd3bSTLtaFKCj2qcVKsGquCuXBuaF7g
XNcwdAzXykUmoMPRUMXzJPILaUY5TF7OrK19w9Ic8FyZ2Tko0WEbbCeOLU9WjTNvIh7FM+WAVzBn
iRv3lugZWMyEhHplxV6hRWatOlfdKF+L41nq+uKbVtXcRzZKSbnwdVGJK6Y5rnOeUF5yFlhJq/K+
Wyqo6Si8WeZ6PJ45qu7zuSxU4s+7yIi7JVIqzixGusi3eMu6aFH4ua9ZACv5rGVxj21Y+RjGNvwP
addRgDQFnzxJPgdxLOMVLWQZzUKvNO76qqR0HmgpwRde4ymemNwjXrlwijpL7mEypueB25NwXmWg
wSwtI7efCdz20hJBlzWXseiga2swVArbwbg6Lyhjke061K1sntQAp88V+CdJH9B+G4WwAZktQIHY
pl3s5SuMfH3p+jw0LBKGObX91HfsvnJCZmpNkcmbwGkC3aJ+HvRmnAW9doGcSJ/jzHEZqCt5NsOd
16crz8eNOwul7jXm7j4TS18m0H1cmltt42u9Wba+9lcBhFSnmT6MI3KF+8TvfVPUukY/dFFDqisj
k11qJzIvL1mVwJTkKh6CgIwpfC3H93DypcdR4p3nXRy1c9Ww3r/ApVt+0APCNqx1YscUGDrvvEpa
TmfK6H1QvsJBbEc0D5UlGmfmYz//EjUNeBaBG9T3ihnN16zw6LLmjevMRMgQMRPhQDssSoN2nhQ1
vurbjOq3qmT4Ay41uKMxNCWsEne8ndUkDvxl0RLSrBLuKnLta1x+SlC+65xBkKsFj5SnbtpOL4WF
8gaw8ZoEFEsVGN0LmMHkJyoQ9O4YrGRhw/GzbboqlXTITVBUYXhHRCL1VasHTXVZtuXO+fS69oaF
mtHO0iaGR6dp39dmS+KyX6CQ715+p3oD9gn0ymJ8pbME3qLKGXwqL0zD3pJhDUMni9zQv00KDkO+
qMArcOEa2FRSJt51jvWuSEyaeQjgboq2uow1L1Omj6q8nbeQc6ezrs7JzmjAYLLgjcCAtBLv/OQy
iT85cPjPuah9X5jCYyH0i841Nk1CQY22CLo7WrZIXbjg5gYXaZaEwb2A2WKhEoSvcunmX4BANnLT
0z2fnKfCldWF46VubXcFzxtwcDu6yAh8VgvxvHsIo5DdtJVC6TJHXR1+bozYVcvY0eJvXS93NsTP
I8+GOEDQmU86T80zI5afNeTE87jJ3NzkOpi5rmi8Oz8t1YWMw4DZjBTEBbMHG/KatUfkpyLQancW
kQSGSa85VK70JMX5NgaD3J3D/lEwNpqdxZ4FTIMv2tZ9PYNJpskvcFERw3JkVNYw09IageudB38V
spYftA7c9PNelgV+LFXSKTPGmNcrvyHQVBtjr7f0xjXcVQawNJYWSmPep3VdXrYdj+6DWuWm4Gqp
x23Nln1jADghwqpfZFGYppeJ0eprrUR6OvPyJK4v3K7JPEswFXsfwBNRj0gmYEbAdKraDD3VKFM2
tchhFujy+8jNsf8nTnsqarMHD6z7mJVUk9CYcoqZx7XQPdecrPnquUirrYgrI1z5EuHbVmlOvyiq
XPkzv6+gk/qkDOhNG0Y9u4qNLIrMPKuRcaljT2+tDrwbNWu8DFBrROK7ZtHzGGyHUtEMt7Qt7Doi
olj0IofeH+qty+3O6ZCynEwZ+eeGdfhD4BXQ12Cmk5+gr8fqJpEJBgNLMhnMRewZjdlWX4ioGoHN
MKz5R0aSvLEb5pb6pe5Eor7LHSULmNyhR88ynwKaEDh07dqnZZiueZF59Ia0KDJWTptKeK+21dzL
sNCyxo6VAzYDvLGqvIwiB/QvZOjOlSdCz25ahFZdrsO47wyD+6buePzyySv9zl3cPDv5zwH4Q5p1
he965eCP//mQxvDvv3cyf9/zRFP890+X/kORqvRb+dO7Ftt0dw6yGt601zI8/bt2O/pi7w8HVMor
ZMndVlVR+crF15mUv0uod0wDlORSBpzGCyf+gE55cWTjD5ZtX/RvTmW39xDkm5/8e4p0aPUHpwKZ
DahJgCJgTiFwhcD0b04FDrOEUgQCOQ8JW7KjJybmv5wKHHOFYX0tg/pwAefFv4VTGYmOEAIyAHZR
gHJkvts/42XcEcCAF00ig6sqnvWMwwSx0P+JKYFdWA5jMPiiBM7ogjVjcBDfIFjOHT+KWM+CqzIN
/MhOBUp2vmYnLIeScBZQiJxTmALW3BXgB2ReYEW9cwGDNLhDmXcb+WJBmOevG4QqG2GNWVhUkRlh
H1nI9VYNiVdV7V36tVxmFV6jvrmFWfIy79OLtqDXfuGeoyDszLh2XTNAuZzzLvJMp2IdGBP5iFvw
RcAPg4tlCLFOVH3zWVuYKjGM0CycSkrTAfmWa9IEmsQxzhuIXBdO03K71FRnBpJ4YBD6NDdhagZH
l+ifwLhzmMYZ/QtCJmVqQCUsfBR6xsyr8iyapV0efk5T3NmdCFG3dGXmBCtMkxLmCiqujE517YJX
YWC2hvA8s6QZFZ96kht2lBNwKLXeYAucNhC6WhkcfMpzq2Jx2Tkmapl2LXKiXUL7ma381Ay1trpI
tWQhUt23jcopTOmRyC648Jc00sPzqs0NcQPPU/Qv1rlcXZAurVPb7ehdCjRPe+PhIDNzt5MXsjD4
ee1W7pddnvZzzT3XFFHX3+tlUukrkYassIBnbPql8GrHsFCj5Mc0FdQ0Ej2baRXSbZK1nhVVYWPl
rtutasLqK1lVfFbCN18nQJZtlOdetF3twmcXxJQ5BJEkxjPY+ck33ahu7vq6Og9QF81kiuWd2zFs
loHn26KT3jzNYmS1oW7XKbZ57n8WMavXAF1tG7nfz4oyIbYiBjLbqPXPgYDwZrzs+kVZRthKpKNf
Ka8mNYQ1amHQetnoCbe9lqhbNwvwTGjxpZ9ElzW43XOYLG71lK2EVwW2Y0RLYDpD26XoRsnmvoTp
+KNbt+JbilpTBaFtNK3xLfUrm8XKDp0cf0BaNXeNcq6RNJxJLZ6HQplBC5GPMrJHpUrIyEM5ZNB9
ygPNLmh9Ltt4DgYEnI9+obfoshO1TWW5xIys+8Kz3aL+ilh1mcfaPGrwjBY5+GvdQ1L1pps+QKyO
7caI6KIFL9QOWf2FGf7XqDf0GdAG6ryEyBgc/H5NYrKiLrk0sspuqvALsFHAAtLITgSfObUxd4lY
Vqj/0jpq5sYOcEEoN6njZiYGr2wVMCAXIQCwGec38I53rKoSu/V71/YLR1l6jfxLTzdCy3PIbRkl
6hJC1QuXtNCZS7yI8haZocOhl8XdhYRBhFJuElnYrRBrkdG13qaftb60QsbvK+LeJnm25vDnmsh1
XNW3nvTPI5LNiBP4QHe0JulCbAZek1kV8FiWW6CrUAv/SkP8VxbG574KL9JInAcVvu0bbIPPZqdR
dMn0wMqjvLvoOV8Cv+uBi9o95CFfVpLZssh802tbs+ubc5H23Srvk+S8FOlj3Dnc1Lwksjs3SmzW
0nCRy2zhKKzd9Z2W/wN5h3clikP2a8fewZEdAsFVMbDvXodj1RmRf5XmIZnVkexmvO5CO47raF3G
tLF57czd1Ith7Ue/xVmubvM8RB9ELyIzbdu7qgjWqHXsUPLPqC0XuWd8A2/bBe6lKGZu4CDT6NA8
7aFPR45vpQ5TVhMIYCjymthclMs6Tb8WvK8sP1CfCPfyWY1LamEUpmaUWE1uqXaFs5CbpZMscFAs
iF7fRCRdqJg/dlF8X/HgHCLNi15F53lF1jxL10IRuSgbiABV5y9J6zFL1b5lOFo69/Rg4TLEbYXU
nd5V2Mo84xx5EsY1ddHaKXFpBkX7MfBrHXiWKoe+QK51v0+s3DA6q/XDyzrrrzwVrMKGLVhT+rYf
5SsnCaVZicI34x25UwYz5mZr8A+BBk8giIuaCyhyXMK8VpigZQ/zmpqnQXEdBtEdnH/omnVSR7aR
aL5FM2Q6RXHjU1XbcS8TsyiCj3qn56bb+huJ+AUwWr7ZQgcVRT+HsPsxzNECZzEzdfwliDs7poYF
SwCXDdghqmCxuORrlAMp70rt0cFGb0KQYxqVas0wivFKy3a2rFz73PiToGiOINgxhRZ+6WKCrUB1
4Uz33GvaM2wnHgHHMgvEEoLV6lNKaXPh+3lxGUHwuHrhPX33NV8md4a5CSDTd8cSCA5r2iBjtNuW
b88R6Qtg6mugmZ3Kt2lwXpB/YoJ3RO9/iWxoknLIPFOo5DVgmyGxW7f+8gnALSdMSNe9igygOY1r
v/KXfnZXNAH0hMjyDWBvgtnP3woW3P7DU3fv/SJPUGVhmelU0y5Rl9zvzi83gXS+h1nxT1cH38OT
SWCVgn02HLqqqyS0aiAFYVQ0qYWIn1pJ0f+ZanztlzqyINKaR7LBX4WncztGwUdDxI3tht0Fj/Qv
hgMsHY6oUUFvStJZ1fNkJjItt3FWC4snXbeqgOb4miZBOdf7GAJZ33+IoK/OgJDzbLDAnV0KA1l1
Je8rPeoXYA8/Vm5NVrFLb7yufAy4XMKk9EEVxdzYxXiEBUuKPG0WIPBQoiZJFl1fISuPDd0uGuaZ
3G/viJfYie/XVk5dw2Syu4BO/y1XkDJQmb8qdG3ZNfqHtg8+6yg8Z2VamJAuc03foZEVlH4CnZit
wj64IA2ElJ1DbBohBBNMCFYWfa5RBzcH8aXw2kVSNLPa6aEHo1lYukAG0sxOg1iYWR8Iu4icyywX
lsv4EqcGcIJue+8ZAThwmfahKsPMpLREVs/LhZb5sYmrdGO4+WWB4ts8i60C6BRT4fOa1ZpZM7rk
iQCLiPHHpPOWrdO2dl1UV5kBc2SQsVVR6FuRo8pygM/Imb5wM33Nm8j6h+72T31854i/6G2NDi4G
6aG3Bevkxr3S5vlF/qlZ9Cu2NNYCph7rgTQmO8eXyV/Nxc8fvjtpe2SAcQob1xMoBNilo18+HGee
SEKha5eZzcxkTaxsXrUmvtA+8zmaoY/XmrX+XM8CZdYb+L/oqlsj89yfO1c0M+N/0GZ/4nse7RSB
ewkroCGMYoNcZ4eaWMc48K48dJPRCIinz0W9/Pkb79usw2cMMnN9EVea50UeTK5bt1jK7vbn7Y++
A+wAz7kAihs2H97/oHFr9BoCyvgq1W5yCeOBgc/5bKF+dZD//zB8h6/520seYK8aYr0JtyNxO8j8
iNthsR6s7sKGjqEgAgJkAPdH3A6bxyKpE9g6AfJNBtzx37gdVoVBHI+gEAYuQhkFNPgjbofadFhm
giBxDGnqp5D+h3bfp8ef1ULAvLU32hgE7bD6CM7cBL8OKnKACdjvHJICY4ryhF2HdeReaG6cO/dt
Gyb50iB+uGiAkDA7ru8SJ8x2IQBf6QVrLFZpbBk6kB6MOxJfNg2SoRlEAs3bqgtMHdIbJo3xWrAk
MJvAL8zQTc41GbBL3js5REloDswoM90ynMtebBkQh1A50Li248CUYhkQriVtcxEk0VwTtQfhdVDd
lbVakbo1/opacHNU4MlZg4NFBHRrT7NFQ9y7HCcQ2xtdD+FYUFtJXCxLSK1LJbfcqW59Kq77XKyA
xbj3hbbQUvWn5orsInHSi9yTq8LT/RWWzZ9R6VpC8+5jwj5CNqc1wSfwoCaAZvdYuV+grHhFRQbT
lfOFStiQ2qPYBC7agbi9BgLZA3/eB7IWcgi1VRTZLuEmL3LqAVNYkItQRVc5EBMmD1wIqvQNpG2v
yz75VsKHNmWZWn3aNJCJys5jHnIrhuwhg4Qu6noTdo/npuwTSH6Q4CPPKGSAeHfeO9qfovBuYQJ0
LK8MVpWbQJDNVT+TnWemImnNDCgHK2jSJcx+X8LOXYSpllqMglvodpAycDPvQUGphtVlmNkJ7haG
BtGOK6GAA7InSaYTuymBwPaL4lPmeDoEgt8q8NyXRmjImePmoekySPlw/E1rlW9Bte51HoFj3Pt+
YtU8/yAKoa01GS0hsL+NgByXNSRj9RoKD8rsf9k7s+66bWwJ/yJmcQCnx8vhjDo6mizbeuGyJRkE
QRIgAZAgf/0tOu3ESbqzVt7z1mlHka1jAntXfVWEh097nlmXLi9Lv54SSt7iUAVlMzVpDtn3Mxnl
KaTkxbrr/ZA4T9PofZ4lNAhQRt/ijiw7MfO0lKq57eLlwJVNs5F4Km/M/G6TVGSOF9K8lnTX+OZ1
qcc5C8JgF0/8FdoRfr0Z5bjzWaS+TgAqbmwY1i3MHEv3Gj0oLZTZhezx548O3eLZPqtCZtJ86sYF
m0cSO2OGOwOflB/3aTlU+GK+/cRhPHGMIbrgwL12KY7kBVqQQ/Ne1vVhmdzriofhfkmaGONSMt9L
okIM7f4pCJogJzTNggFfszLpXBtKgyy2roCkP8040oeAZ9xb3JIEzB672AmzcBDslCR23cdTOJeC
MZ0tNdZwd5p2s+5eE5deh4mKDIfUJTAD3MA0vV9UTAvVNrdDhKXB9z7OSbg8jpDaP/deE2T+ABE7
8GzhVaMsE4gc2RgFvMTokk0ErIDtZZAFHp5ZSJL4e+OnDqxBd828GZhTR0hpKcCm2Fku3J9g4PV+
ZoCmZKaFfuIz9XU0zt4LpA/1ajz2kQkyoBAnB5LgyaNtUghIJhlsqfHFjweShX0yl5guo4ywQWd9
HbcF60a5A9DT5ate3dfB8z/BDq12KYTKch7nZN+vEOY4b8O96LTIlNO4+4kPIvP87fOtoi5bSXUe
0noP0+6W4YnK5xUaUTre1zP+1K4T7jwqzjD+9qyrdCnSFirLOl7QF57kto4x/yUGn9Da5lLxHeSk
Zdf13X0dMsy0GIFzkYTnhBoY1tLds5B/dqdxbxz1uPJpgn44dnDrxhKOwUWZke4W09U5i8d9JeUB
69g3GsDrD3F5FNKBhuLxNvMvie2eOtW0N2k93fX4iWZQ6tKyE+GY0cE9hI3+uET9bibybKrk3cIQ
zlrRnTSfbUk9iIURefx+Mf47IWyNOf97QoDTrv/LiLB90W8jwlZYCiYWaaTtTfZR9NOIACgSLGyM
wtNfxf3fRoStHhNvhwHpgxqAKMb/+H1EQLgJ7A8gyjAMoF+m5J9I+wHoyp8H8m1E2LZqwJeAspF9
3H5/Pw/kk7QKyEMdXJXF8rja6ThDWyhwFgR48oedCLBkj3r5GPtrUChKXscgudEp9KFwczUbW5G9
HuuznoWb9W5/waM2ZskKBdCq6daOkSpIOopcCPN1SfvPNaMlrPYHDv2lX/QJHsfDICU27GExWSp9
lY2ef9N3gAaoE39QPBV5m3YafmP1YRXNxxAwRQZX2uaR7a4hDa7eHJXpIE4x1BcersFxnaoxN9xP
8gmrHsDL0k/kNyLrBzPT8NTTag+362uCIzdV67NVHaRvqJcZvAaeRaTri0BWuWuFyWNZP8+eeeF2
InnN64NvRJ9JFeMuqEHA6En3OZPBLe+GU8sxU83j+G2Yai+zjtD52ibX7cTKZzpcm3CSJ9thMDKs
okXcCRzt9Ujz1KXVrYqEWwBKWaNsIOu3xJ/47UTi15Xhhyurrr73YUFmtRrfa+2ml0a0xzB1YAH6
ctnXvUquitmujOMZn5qpSTZSTDq8szOwBBgqU+NFezZZmkUjHFwCQffepYG3X2VDodkzXIZ9QDMA
RyJjXUBLiObY3QPblg5j/r6pN5RwBRgXWRjXrhDwvyuv8OzigjNTbEdcWe3IHLTl2Gl/r0XQlX3Q
3Hj9cF51c+W9d9QLXXGKJ9+qFbRUg5u9dBQLigXzZelV8bLnhral29RYhYkHQXIcIOQ1EbwXO5p9
6sM+7ugINhDgxUM/x8neyLAuUaXTHFy3qoppaoNMBYFz3yILmHUr/qSDjaKMRW60S6ij82aZk2wR
2Jcc4By4Ljg7hUrNe+rXT4uv7oxx+7J2kiUTWn4VrQKcUEdAiIaUnGSqgox6GwK7bj8i5mNfVmHz
oQe7kimoNofFgPf1cSFC9ey9a5jA/qjlWsHDhUQdjI45JDOM2XomMwgbw954x+LMbeKqnGjnHFzd
7EzYllXVpwDfAK51aT9moJ26LCGNyZxmhlQhuzaPpia6Xz1731jzEM0dLzEieyxv/fYW9BsGTD58
0/36VePy3mnpmaxN2/HCYHbngYVZNA7RMVrm6iZy4mmfVD158B3zzFKhncLVxlb72reelzEjX2f8
ruLV4XADmzZTST3sHbY8ec7s7WxN4eRM6anv/Kic58XL0skc0YG2ZBK8JGAvWrK+d04OcQ8sCD5M
qtG5ovVTNzSnuOnv5ljljhNfVPhSxf7ZiGj6tPD2fY70jSWOk/UjnIJkNvONAel0SFMoYmzEEEa5
e+Pju9WyPk8T+TYADMq9tb24s+tlUxo/rwm4TtasSaZV96ZiwJ5gwY6iWe7Bz9+YkAFErKeg6LtE
7DnzAL9MdVjYRdhsYnEMVrs79sqXeayCcLcs+Ai9obsahz62tnpxhfksCY6HxJVTEfPxzGbvi+VR
VCoegCNUgu484+09FgCGJWM5NcrP4tXrslZNF0wxH00UukXskLvUxkkmurg/JmGIf1O7TWZ4O+VS
i7Np3AMYAszepNo1rhiuLNXwGcGJZY5NC23xcsIK7mQ4sQIYX/SZV6YLS9HbS+/rV0HiY2/CT0AH
wiPrYHSM61cAj8D6hD3gD93uah8oYuetRRvFt3WDUyYVTuaPc85TR2SwzA7OEEGYG4rGZ1BN2XwP
gP+m9VUAKav9qpMU0ldw61G5d8iwp8D58JnmtvXwz+GXOmEsV8x8Uyy+Ax+sy0ksR92RujRxmzuE
3wPBcnAXmLwNlnOt2/sOU6fH6qcWTHkd9YfYwCoxHXtqmc7Bv4xZX6k465b1UAExZW2euFC3Vern
ge++V6ZfMtxjzrJXia+SO9bxNqdR/+Bi9C//nY2+ww/bi7//92x0eR9f39/+qp98f134l/8ERlBp
tb0IL4TrhFb/GP/B3/QTNAYDZgfnnEILwYT023CEmFEUYAnGaxG3EiVsbb8PR3glJgGnAMkjQLj7
Hw5HmM7+PBwhlhL52OdAU/ggNP4kEAaOPwM24/zquUSPp1Qz6eZs6ojzEdZ1PJddNHYL8LRmuPdi
XhggBlD8DvZ4dCtMN73A0Q4gUCfPgOpAHbPpyQvIeHZtK+pPFW1sFmmsxAuYiBwwz3XhvCnCBsOO
9EMYDnP3IPhytU47ZWgC/IIHJ8zDkZ+lu96BtoJwXo3PFn69DMW6M4l9Xt35LZLxgwwE/gPBKg/U
hrvJJOJAVHqvafNtEqNfdk0XZdpzo1LOmn+oaHfnkACHs7vAHrXeNRHV/dw1ENWB6x5ohHvLjslh
irC7dXw+VJH/mUiYmLNYDI4wLEJCDFOZwvs8ALCG2Q5qIA9FFZXdUH8yfNBFH0qOeazi2SpdbxfA
6MyMEzgQkiJdH2pVURegFt6QmPlYIqElOe2hrl1ZYl4M98rz2jMkLfoAytZ+jKaRZiLu1kxZFl5Z
4vs59Zh3uyzkNFji39W9AP6pFvhbA5T6EfbirhYg3bKpw7f2m+RjBTj00PvBWkAvgPE1eRZsKa/U
qfHG/r4CV3tO5EjAPaaLovg99AM7kdiJvGPKlcN3/swhb8Xc++oNASmMcbJ4aJpLPZkMK1hTaI5V
Dwt2Rui6c8PunmDRnMEr4kYJRv7eCvNxUPxGuC4tunjet5rzHB0VlzF1LgpOf1Z3rAhl+2Dr/iT9
8bPv8JtmBrEx+N1TQOu51HXySuRw59P4tu+s0dCJYn4XNgvzSwhVAUSTsG7WC9pC+8zlc8llE+UB
maojX+qj6SowJBVmWxv5Sdmt9HUFaZtVGPIymWLYF5hi4cv0dQ6d8DXEYZmFcGJy62tVBLUtjacx
0i4fKFIJxaL7sGDT1OTLAtEA0t+txmBSJG4oDhAjWeYmtLQM/yZUmaz20jJeQAtyN+yzNkw5MGwy
7ZeaTYVr3ds4nOHUjCEGLgnowHX1OWJ2ynXY+iVrlZO5nf8SWQ9DySIe59iyLF3mNK963AUDB07E
NvnNJWmm4vi9q+hbK5I2x9OV62aB2+s0d4iCQJmb/NJzTZxjZAHv7Y1N1os53SX4q+96hBa9O2qo
maGmLHOoWGcMFLHgp15p8fTv/YH7Y0vy/9398X8tUMC3L3++QH79sp+2a4KsHxA4+LUE5u1PFwi0
+RgusRvgRsd9gV/6TxgRF8j2GQNnI1sT3x8E+PgX1IIECTZ27OUkxWX1DwR4sLJ/vkC2RR0PCxo6
UY2fbgbBz9t1YumQGpA+14ZpeUralFzG3p6Tvh2gso/PUdcVA2iyQy/idn2vhRqce7Ms2DBWloPN
b+/TWvaZ5gsObnIS2FN3Q6swb67w5HHiOHvWAk/AZrujfALlNsCTpLIiGXxXWufpNIA5imVrHhcq
P6f1Ao0UHkQWA59vcmzb5DRZZz2Fsrd1lS/Jwk6m5cXiV85BO+M3mvYr8nxutV88gWSRx1OM8nR6
luiOPkNK5Zck6BGcYY/SBDVUww6sh/QSBn/TwRA7pUBiAqgHbcv8zI/AN4xeeubxqMuBenmofb0L
rbxNQujnUyDS3dSuNnMqDR6/7ufDOKtbT6k01/3weZzpzeLNZe0uha/8i0voeV41wLdGGmiwOOqb
JMlno0zZ4xPOaOVoLJCafqtmEb0sawOcZQgHaJJIluVJrbxDOpqHmgePSeP25iij2tH3DOf8IRxk
3oNnOQzhovrHCFv3mNWmiqcsiCF9BN48NVlYhd8wWc9Htgizh0XPi7Xr75ZG3UZEnnr4f4PrnxPt
7ISaT04XFWIFpwtV1m3WPGTybe79B6bTz/8eHt+Hzw3N+N/D5xkvQf3zyQFaF1/z4+TAq6IivPAN
oEcMu2KbFH8fPaG+pTgZMJn6aO7bptIfJ0eIRt4E4bvtjSWYV38ePckvW3Y5cXEpo1sKVRX/5OT4
nuX7HUSBLJdG6BrDG65AFcYevMU/HhyxJ6kLGl/fxthPMz4BTgVABg4TkngKyT/5gkFp3g2b5uHh
bzRxEKlNzJIWMby0z8xHkhHZNGGGI8GrFjsYJA1uT+mEJr6TZBznu36WtzLg7MkZZz/N6mCNd41a
1X3S1s1LABj3HmEDupdu5XslTWdRLbgFW1b4ZIWCMChFiwEA7BbEc7omKD2k3tRnUO8NZl3brr5d
i8BEiqmd31vmnbpuXsUjXReOY2uoGr/Ugo77FLgVIsU93SMVHRWjmJs92P+hnIfKg2wfeQg7IFfm
8mh8XqfaeAeeLtFaBsosFCdVutqyNUE0XGRcOWsJdNRRR1eu0cUsqhaF9EX0yKJou8dj2ZQRsg9A
pGquH3nQjmmJp7S9Wj+q/f0Q458R9hKf1pkg7SgHypsxs7WIj0MLQ/Xf/fBXOH4DDf/3I7p1IRXs
nYq/PqffSxT/syJ60S/u9oKgbU10EWz+aUXEIxymwLECoO/JBsf//pwGv+ARggeHQhnUAn1/un9Y
7FvdAIFHgxFgI+PDf4TGYzn70w2PV0IjlJvgrcAoDgQ8vf36TzQNa5pa1YhjXqCyw72ByIboWA71
hp86hsgPtKdpjTcP1JW+Leoe8LMRVUHrnt4Epom/8LrPA0SaqDu8NHHreXezpySEzmmRaCWY+vQK
f3g90cC07DjoxX+Clu+ER0+5I4JsqaOvXRVUJ75Eri6hXzfeI4vTlpxXurbqNe1pNF/GQIINgVK4
n6K+fa+mgRWiZ6bNDdKLzd5tEm+XDgmbHvSw6COBgONkKyK1a1m5i3lZCSBz7DW1e/ZNWp3HYYBr
2/dzXdY2HfJxwH1u3IWdQ41Ud1XBAgDxXqV4nXNfp0A9qxluJQFKxfva3NVI14Fze4k5fW2guJfI
ZXe5jMJ3qbv3CKC2xo42kDdglZBv+twfKPJmqxvuNHfMyxwBEpt8F+rRzEFvJikoPc108tFzmCxS
PlevlkXTQQW9f6ydqr5xIPEfuDfGCKobe1ylHPYkhDk9TqvGTtvbPEwkCC90Q0OyrC74cGURIVuH
YaoqEt2dEwM3IqzG+LKE4XrkBAkBhAPajMBKjNnQQXH3eRbA6UXG1MB1Bd0tk/Q9IbWzT6b1ADn6
GjQs2i/VrDNHddAsqxHzGrGfSE1A0c4IHIHs2ANVt7CgbK7hY9/ywOoc+JzN0za0xYiKnbIBqnl1
KeePzhwGDwgi9O+NS8ZTNzBERCeCtgE2vPXL1PzKTv3r+G2kzt+eWls3OF7I8pfNJES3ye/zBV4q
6+PgilHQj2Phu4P3m7SFlzK46EqAo40z47t+9WO+wPqRoC0Y72vA+2h/Vb1+nFuou4Os5aMny/3O
eSX/ZL4g3h+ZU5yOsOfj1MXShBcI/Nop//O5hTi7BwM6FFdk3CCDaIuDal6W0tq+2ywL7zhXfAe9
9dh3vS8zLP2fuzQ+dRPbIfK7xzt8b2NMF8gfXpFQLF0CIazFDnzTslhg3xmfF5d8QmWCWyQKG02C
IRxU+VM0VtfG1WCOOeWYJ5r43tJg3fJ3jXTLFmSpKJJt1few86/b8p9uMgBS6C2o/aSHyahhk0Mt
WDfZwKNL4UFHWCuBdX+TFswmMjhQG+wmOyyYjkA/qxCBDIgS0+R+AFlexM1SzptsoVPC8+i7lAFN
I9rEDbnJHMMmeJipFUjJbCJI37wigZyUyyaQwKjnWQvNZO1JdWw3GcVFY4DoHXfviqA9h6Ez3yBd
jEQQdCbIJc0HnA08cxBtz0faXAX8p02ZyeaV7HRk0EQ1RHnLhw9RTK9y8ACuBDPiCmzYBUNlsgpV
JUXvtLARiTvkSEYtGR/MBc6pzPki2t06OXuc8aew95+7ZnpImwq/77kJMwQTDnEwNChrYW+TF1xo
v96ufjflBsUpmWlGAFFOXhnsd5zJG1MnmHtcP80pN7mz4uARm2SnBBARiVglYg7RsdHRPa8AHwWz
mgt/peVAumQ3O+J18EGF+6669YO5JIOzF25303Xs6rXmHATrmHdEnQd0VeCbqruBRTpLOH407gQp
kYDTUT3NVWP2wxBc4rAGXwHbIR+mBo0AXl9w6ewRkr3jVqjLiks3C0cGxzeJHrCPX1LZinJcJpuT
jsQIo4OVCgSi4S3Rqmy4GwNCrkpF1ZNNbb2bmv5CSfWyDNOya50EKfEgKkLtPpMBt3IwxIXXNsUy
YDxNGL2ns3fj2a5Ad8XtoNK3MZpl0U0KP0MVHekAAxChqxtt1JV93+nF9/0eLQb8EGPnT7l85uCp
8mmdzoqt5NIbLk8N9j/B3Qcdjm+JXHClwmfGnkj7qJDYG1PsjyP2SIF9kglxstgvMZHfobiAF4Oq
zb7dltAI2+gaOQaW+hyAdvm+rZJ+Wh/9aL3QYcTs27J5RxFfy+YgwvclCPCO+zleVbnE9WFeg7sx
/KwcjwKOSj/0KRCShp5Hfws16PA41/A+5XpnVv9QTQyKWWjucdhl46wL3w8lfCBIY9VQ3QVKgxQM
4K8n+iwMewD9mFcLfVwlGJ1oBABUQ4rIfMSs8HHF/T6lXrAbUYmwC3i0bymjh6F1cCz5dYI8XIsy
AYO/Ob2EoNp7/mbudneJdT7FpP8mRvcNNBtHHUv7DIzuJvR4kNlBkiLc+Dx3RL4mbuTXxDjVTcoR
CLSImy2ue9eJDg9DPHhXuNfv2IdsiZDgu1EoG+gi+xDMizwG/fTiiW43EPfTwuJL0iITAOi+6Cye
l4QosreGfuxtanCT9zuZLPupEoUrx7uUQbyOmt2q5JSHQ3XbxFtkJOIH0S/pCUPdh8RUBb7zlAcp
efLgnuzrUKhiHTxZStvYcnD8i8VjcAfi8AGaxMG2hOV9O3WodYG8stFTDNRGFsa6wJ+VQTxSJEcx
x5d6kDzXi4bp0CLknAhoO68MVgEiWg8cPxPcA17uU+jiuk3u4N7vwOzjU5w4AX0AQ3NaZ0xbU7Ov
hyGG5Nki6KidN5CjZZLwoQhDempDCp8QM1Bk2HQmjteX+ECXQ+jbB4tYk9dJJM4E8wqTwLi1YOyR
laFHK2xeOQVPgnONeT83bfziqpUdcRwj60JAgxC7c+rh0WfVPlqXMad1ZCAgexjWqHpFoRPLHRXs
MRqt2TQMF6rARPm+fDShvSGuanInGCDPQLbm8nYWsj1Kb75SbR/cRZQI2i87CAZnMaQHB1b2U70u
Zjcb/52nwNQhGt93ddyUa7sGv2L5/85TG5H+d/PU6widt9f/bQ3EV/6QazBOQYxB+PgHNf2TXOP9
ksCkC3/8yk9yTYKuya2MzkdHCl5EufHPP8apBIV0GHtiOI/g9TCM/ZNxCm8y/dMaCIwqwbIJ980l
BOfbn0jroJl6tQo7Xy0w6ZwYJnfBVDelBKXcxVbvYBMBF7EhmT6jeOksQa7uI4xoWIuwwOA4VEXV
J94DpVHpJGEH77qPt7kEDSl6/RJW/orQqwYAMagybtDTIdvqMTBOdEFWrIZjEQw7aafhFiGBsqH1
s4YlNLtomsHUcsKzfCKj943b5Xmuu1NMOMjdsYg9/5CyusnSBtU+AH5k0bQ49NcFoU3rEpWjFANg
dBi9NzH5gHaSFz457/NUD0VcLV1u58Viiuvehg7ZGu46t9qdTAHjbMlmnH8gLqKvS014ASnOQ2PD
hK3O4NQzi3iuO3HvR7REHRI2ywWNIYPRUwlJyNALZcdIBg+Dii5BW72vLQqJ+rvIQ+0BLLPbfqum
sM3HboC15FevdR8+TWFVQ1D9tqB3DUk8/x5NUpg8zeoCp1EfMHP52WI0opxt3aJZqbUY84KhGKPl
saM6LHQ8k4NK3CYP2nosoQXH2SrImnc4ZHJVNWnp6A1o0/TAa4L+DCfYw+5rHkKv9QuLsqOsWUiD
0qtwKkLhBJdx4Ax0+DzlPPHkaXXGB6Es9kVHuHtj1RG6JUNKF9gwMU14MBXYuuce5Bu9+GrtPjYq
RJ687WCK5u205jaI5myybC6RVfuGHr2DradrrUeeB53S8UVXKHh5GdFj89a1InaK1GvTAyNetQtV
5F1jl9lcranJqb/ggiKzuHSrzz4kc/I8amYPQZS+cHBkOWA1dp1RhFM40oCbXpKntJ+PQRdi0qww
bqA65zB63gfHgAEz7hyUtlr7/YRymIeOdEMWK7+/qj4tBhc/S+S5LhYWBPJTLM7ByIALH1p7hxIf
VaIlQz7RYfqqgN+fY+DDOeJW79LDyrsS0M8s9W4duNI6c3Ead07o5XGqzWFESv3gj1H7OERDe51E
3D9xf9EIW7EaaIx8EokutI6gZxgs+ph7DjaC7W4qp0EjnhGZFst11mmFC2K0ecdFWobMn88aVS67
BbzwSS/uF1vJfKjn52QhMg96F1wYAt4FJemCnYk4R8dJ5xcA4TMqkoaqYInu91YK/sqDUB1aMwOV
H5ITn2vQNatOEC3HclOMq6wyLJLjVs5V3dQ0SC7JtAAHjNMsbZ0ljwUkjaabRvTiJLbQPpLPTrJi
TvY4Es8o+/pXlfyPKvm3ruOmSl6+6Pf/dh3hC3+7joDuwgeIAOcSdJpufO5P2z3eag+/ERTK91DQ
76pk/MvWqIka1BDv60POGl/14zqKf/Gg80Pj9IDoRu4/K+z462WE+k68Uh3vkoMG6rt/ch2VmQ2C
lct8dcXdSEm5NHHx0yX9X5K4+J3+HOMLYcGgJBQqwnbtguf403UXzTEPTGzMVZHmxOJnx72m4b0i
B6+6m6db5f36txGNMaiy/S/fb7NP/v47br+jn3RW3yYjw2EDJ1WCrkhQl4PRUwm/wyMo1P08iuQ0
6VDeRjysUISwixoYCENlq7DUaAzEldhHLxjR/WO0rQHLthB4SiDMkNQ3IXaFflsaJLaHyeHfUmwT
PbYKsa0XscCJ3tARK8e2fATbGjJuC0m3rSYEO4ralhW8USTYUcnEvlosiOBtqYm39Qaa5Yg7ikGk
S3KJDSiZpnO6rUQxQ88EdiQoAtirqgSyA/YnsmAfieb7qmrRwOgEB9R/3E3YuPwkOvauYcic0LPA
TmYC58O4LWlT/zJhZ7PY3aZtifO02iMOvCcyOdXbmldHYkZkAqsf+r0uwsTrY/zdyxy/+5piszgj
eJ3NZnoO3/3PVRL8H6Ybrbi2lNxo19vAkhXYsNJr0Zlg+Mrd5CaCuuyQ7kbG7Gg5lOa0unVcfrus
0UfcPECZcSxmELd2o89eQVm9tY4IyzkkFyvJCS1excTlja6Q8zDLcQnYnYuqkr4aCmaXGwwYN1gQ
RKFX1HTQcD6ryf04GL8kRGA97dcPYQugueoWfstMf9dzvTcJBNOVn1xgWgjsInrCNbJAg4V+pCYc
mQRdIKqJP0BPH8F9uHTnd9IcjZk1lmgfLhgblpsWlbc7IILntntLnflK6uQBUQ0v86D5o2Rz3Hmy
O1UtuzO98zhP/a528LEI0NIJQwqm029xDS3Zi5p7n85lajo46NYrQA0UBMCpNqJGuBk33Uz28zjt
XAjAOkpAXLqFEOIRAtNdVw1DPoOmx1rGpwe71A9R5R1HMMMoPPxEeJ/bOByfpOsEOZS3b30AOrpK
9wHmr3WtMGy4JPf49O7OCN6ZqABT3eQ4wY4I7YMAClgZOXPmVfQOetuFIK2NLre9dcOyjVG2Y6uz
UuIwhlOmVo1EinMLuqPwZ+eIgwKpJqqzirkKYDKc9TR4JqPKfTwh+cBB0/Rhi6wWiOHj2GLeYNRA
H3dOXK1PSs6YXVt9y0aBejG3aJoJf60xaGEp9L+kpvnSxMlFDC3QpAZFbLMal6xSM2aTakoO34+1
f5ew8G+tuM8Qa//qwm1f89t9hxcVIkC66cQe3ie8vQ/8p/sOCw/ctu1d8TH+5+/3HaqrfNwNqFRI
wN2jwur3+w7vlodTGiWIVeKu2jazf8DZ4Jj7w+2AewgBlgiuHsKuKIdATdUfbwc82oiS+o29Sg1S
WGLaAxb5pH04cs02CK5eL57Y5LVXH8Wmj2obGB3XMwezVl7uYZqk6TZXDiS4hdPnlui0REdc3EAF
ikCYbQNpjckUdaEYJrdhlW9jK5oiZN51WNRSU4kngul23MZc1C4WE6vFtaPDkM3bMOxRCFsG3EBJ
J4zK4Bg/oNyzPbRtYPYNEpgyNEe4RhiAMWjbbeSOtuG73cZwDCAvjhvNhxQTer+N6sM2tNfb+K63
Qd7ZrCsPP4Ir85IKM6JOD4MQ4ZXOPiBPNIUeZhmnRUsDlF/12wxM408CT9/W3dFmG7BtBqQuUufz
HALx18i9pAI1pmEtT64hJY+pW/p0OqF47jyJ5Bk/zYsQlUTvjtCZiEyX9bx+CSfyxUbwrcT/s3de
y3FjaZd9InTAm1sAiXQkM2lEoxuESJHw3hwAT/8vsH5VUawqddRMX8xE9EVHdHSLBNPg4DN7ry2q
BwyjD61R5ps6jniSRcltr3e5q+WS6WolY0Azoo9axmYnmcUrIsYcf6F5MHlOuNhlcQMZaRr0khEF
cSiwFxnLEx90Ch61vq2k8ErP52d7AUwV5jWvRPsezt1Z6srxIrPt1TVK59cI+0qDzugu4XJlVHyk
fT35zSzOWaE9q1r7sIjsBapg61ZxfMjy6WSCjYfMwgJSiTjVJKHu19xeIFRT54vIwclh955a6Duz
My+qqWAsaWmhayjxUx0t1xitjmkDq1iaIJcynQUHEzLeMm3cCCdtllPtmXGHMe+tvss2ULGO7Csw
RrdKG/m50XZubBmvErbCZLB1WNRzgPy2ccPVYy2P+WFcXdfW6r9WMWIjjIMHgtISrabCcM2wk+1s
ZBu7UWy8j4t60xrG6I12y4Q1yhjP1zpu0WTeJAXz9ip1Amj4KXCzhTc56cK9NAPcjIxMYdtgW57M
N1WL6pu8LFmhJABDbadjg1PId2Ucdm6oU/phKsCrmgqMpmbhq6Gga0Noqs3h6zyru4SxBuYs467t
w69qWfYeRaQHc+4KK2y+F8wY3EIM8CpBHcKA1k9Wj1iNwq/3aOTMYGr12xHKpBf2xoWcALxxmJp6
ODUPbT4kB2XG5K3nyh5rLJ9S72AXeOwgCUsiCgTTXFxJybZvcIl4TtFStMHwiIBN2U3+HOdGYFc1
tzq3SV1bgJ+K4msdd4fJEvU+kyzbzxNFOUGC0vwQqMNNmjTRodRt+kg7vBob3BCpY27UGUhjzlDG
1Vj9sLeZrmelY0LO9PXQzNhOBlUNd3LT6xu7q/TtHIWOL0tNt6+b8hjFsoX8ZNAOnRkthyZF4qdX
jbypmpr4AqcNlmw+ULA81lKhndWUZp7TL9tLie5gT6sPkia8aII5a6b1U4MF/a0rWTnE3MbXVpq+
LunCHKR0tL51//v8/E1txvr074eYu6HA/PW9//MzdF27/v4M1UjHMKmHVoS7gSL1wzOU4AwMnwZE
SY2Z5Aezg06ImUmriJdafpe/8FD+354Rk6gs037wOPrRTv6DZyi/50NHx9ObISmOilXchiYSDvCn
J+iAgQdouDgP8iFiKDIzpdp+eFP+oomDjPHTRXgV1AlIZBz0pQxzeb0/X0SRWi1Ns64+a8JJOVh1
o8NtGWtqCTdIbpvRbypzyq6XKjHtq5Vh/9hGlppdIxmfvZgVq3pQzdrrgBg3MYjUMN+YFK9Loszu
wEx+nvNzCDI+ryTQ9gzxm+q2lxHTzLGyWRrrZkq6HQpR1PgFBOakV3xDbw6gVE+SnT3nc/ZNwjs4
1PUeD9UjsgnFW5KYDQHjKTXfW3HXuMrUvrWDxcYsESAWdQstG6NLqVDYmxhi14ysWaCRfbHsXaN1
OI7Kx8iU96Bv4WYwA2ym8jVncOeGE3uVuXgNa7mCWFfzHJUnHI9dGyDYhUBmCR8jPE5cwT6ltuTn
qSsPmi4VvqKXd6MS0T2pX9qJB6ea9A9ZMXdePIuXztQPs96WQZPWl2U8Cd9pLM03ktDwwqq9Jf2J
x4de9RuojZdFVLZe32nXuXAibxmHRynVggUB/YbHHk5DtX9LrQYTVYIRwWqqc1npR0u0+oYWkaVq
1qQ7k7QLdsPY26Z0KDdJjWhAGTkc9Xp5UGCJaHycbjVIN4aQSrdQ8ztROAgL7OxJatC/qByzjtKn
V3kvFC+WskOHjge5PRAAFvwXUf+ipVXgDKaHsEr19KnpkMKUD+GCLzdsbFTGkXJo7aH1+9HaLpbx
UicYX8XcHtlzv9jrls5Okze7YL8W6eQLNL1DwWW+6YkAn528Jg34E6VLd7EKFlGZbK/CFjOq3bOS
pvA69V5ytazc5wlIdn3sg8SGXT8w/vfoiVl1S7LjGeVwHhzpC9xLTIx5v481ZsmKHt9ii2j8yooG
mlttkyPDZC5tbZaKz8+x01sVmggibvyGzviQyQtm1dl8S1PnK0vMdy+RFmg4U5BGx9llWeSswNKE
UaQhf4ngJ5e6UR+QMZ+i3AJAWcErVabp65jmfHtEM2xswfthWctTZoZ35oiVkM33q459Ohhb+UsW
5V+6BGLDJK3q7ai/hDXx1kv2Ex5YnfIg9ixN6Rofl4iz4P80KySc2pzta8qQfCP0tgl3687DWRyl
uTMisbjYD/mWO3n2JSMlZW8wtD+bmrhrGnUnLfVr0ZX7JKshtVb1d+xW7PItLOJDbydBJvrjgGfn
Qdd7DIhh7nXmPeCNCVfInF4UFUR6Sbpph9QhMSLN0bSFBaOCUdhHyZoqn/SFyutyAw0E398IjMxU
aZcUHIVntQBisJnW3JsuuvWrrrIeY9t4TWTSgBDrNq6+KEGB4mKMQZHZ+reVjYoa7VAYw1M0MBTi
zLlpS2WT1spNpWh7oUg32EF9U4ru1cx86uDqVIp8dER0Ro54hpJ/uXR9sAwZiO75+zASLcBG0c+6
PtvgcvSyBiNo1+JFsY2grccry0LJ0EB+0JbFZ5Qj3MpBXpvaEqMh6TT37X2RONmGmcVr18eB2kwP
UvdqDHwTR9MKNB17NRYYwf7ECQWclnSYJWmD0sK6t6JxQmLRql4aoQBC/NbXCM20x6LSpVuAsZAg
SxIZ8pRzy80qvQaPayzalsqs9eyc7bKtFfdZ0wVtLx6FyO9xMDzJRatdy4OxnHngNUGbN98aVdnH
rfZ9Cu1Ts8xXTu7goinshFUsIQdJA3xOSpmisct37tCRzJdREd8mUfScqq20SvzyY7vM1qYu4EKG
DN89vY+fSpVPUcR3SVKlvqNJh2HsHgdYMre2pBVBKOHZrvn7MO7y7IFLzxkwSLnpd0O9nKQeyIyZ
asB1Z0eweKqMkru8wxPWDWx5LBJOysH2m5ypnDmOu1HpxTZUwRloRTVvRSmzYMhrZ0UdsXzO2SyI
3FF2XTbC0O9vOj32GlPZIsUbXTqWF1bzKdoQ5Q6/3mOrTLeR0Zp7Rx8eKxTWqz8svPr1Y/dnD8r7
Q5eW3V6fuLTGhvzpyW7mQw2NuRnOFXAU1j+pfWfyVxvYelP94dfX+rmKWK9FtBcLRgWhrIXubZ3i
fpjSMiSaehU10NkON2F238zMw+7/7y6x/gkfLkGCUJ6LIRfnmhtzliw3Hr/q9e3/wUXwl5IxwDCe
fe7PF+niLJvSUoiz1t411cUkXUnj/teX+PPHwlv14RKfwBsM/uxI0Sdx1u3bogmWoseHeSqtb+n8
b660DuP/8BL874fy4UrrX/LhHcvj0SjMnhdD8+EqpenF6mEA6zVuxuKw4J389Qv7eRbz2+VAJ2Gj
wnqFPvvTbgB/6bS0vSLwcj8qaE0s8y6Kj3Px+H6Z/87q1tXH3/cav0UIt+W39ntS/sXUbv3pHx3H
e1SfgqLUQV/1LnX/fWqHdt6WmaPpjOyQLchU4j80qAb/D2M0IDPW6n756HHR/oUCA/4qqlbub9ZY
/2Rqp6g/twOGzEEB8p1mgG2ZTEbapz2VA328dhQtvpJgNPjGyC1gIzzYm+PcfB1bMmXcvulbRGLc
5xZaxAVdRCiaLv0yp1m6cZjNyVclFHUfjHME+tm05PF6EnY1fxsUXVnR1hhHBgqafEwpSBuNDMLJ
h/PKMCWzlGbZM/Zso27bQ1iKb+2+X3lbPUbYUuJscFHQp3dFlY9fWPmnKgJNeb6NFRvzqor0P6gh
tC8k6XQ7xik1rtXBui+VURrcOe3H+7pwVracUS88rUrmfeiTmtIDM2eftWysnzSAF0+SUbNTofYl
u2jMQxb0SmS7OaUqxUJjE0EULgW8usQMGcqpe57IhVdo6XBJIFZxZZnleANpI96Q6KLqEKTKcYe4
zUDm0NiMWoqJQBb0k4ii2sHkjrQTw2LTk1s3EiqwBYpWkexy8MsvhUpsVxzpeN28WW6MVg3gVaes
p3VtyKq9PWr9lifWLHUsZ6TxqU9Y/2+yMRw3eqoMcblJnThczM2iom2s3VlQtzg7J7L5Z3PdRlsL
Pct11454jJyyu3ZwOAVpjlUL9oUOAQRbkqMxmTxX72alUopGeRMRulJ40buhKX43N9GLpE9Z3qko
OAf8iK65IvB5ICf5Tn6n40v2SspvMO9OYPYSXbyawo5enRW4j6c7DHJGtI2brFD+ToJNUkithf4s
6R7B/dXtad1beSbD0v+eXO9TktWB8/cn16n9Vkavf56RrD/1+4mFAB6GKb8NnOlvg5Afe4Y14psh
CUttE9DJ+8r9x4mlEZHBacQhB7IZVT0Vzo+9uvYvzTZN/sOvNd63E/9gRvJXbh/IEkBgOBQQ8Cuf
gw6p5OZEWHLIjlMBNrTkGdzC1QwjTY18LC1Wi660mmX0ND5gRX3iGb94tZW+aCOwbEwawtqZcV6M
m0aTUyxqTb2Z0iSNPO7f6j5qR8Di5OvCpCnjGRUtRhFCoWqt/aZDTn/tBzlEh1MaKxcO40pJj1OG
UxrEQ5I2rC0Annt5q49B0zKMPMxrFoVDKEX3Hk+BuBsYTLqmVkwwqiSYxtTfJFowGRjdmJALcCkz
5y2KMkljLJyvWRhEn0GhJh4jH5RTTVxGZ8iXyyKuFW25iInTCDXpArntXiFmY0pCDK0mpoJFIYOj
6lCDqdzYF7VubuVaOqdjk97UoX3s1wwPc03ziJxOuSg7WgpVEtlmNtPUbWspxe04nKa+O0kZYxER
6bI76wxyqgr7b8SYzc3NXqqhXMztW6b1t0ku3/LYKQyK8r48S022XGp6FiCeYjNvxo8VdGkLP09I
/NvlqOdQmCrIkh0jL7W2oo1aMZ5FuevMWnErmYYIanttSJtF9du22JbNmh6Sm8RhUdqERKD6qkKY
1RiJEFI4RCaEPkEP9wsGE6wBU3idzIZZc7AC1SrBqAkpk4sWjCZ5hfNQ6186h9CJGJEYimc7kJE7
uzmGTWJCWhgZVv1kgKtBUSY5CcN5Neq8bm7T7Ydb8S9mc58K99UNz3PdIPfVRIWCx+LnGhEst5Az
B6ymKsdIF4lO+wbIGxf1jFfrv+ffb9IimXf1788/D8hWi3eo6vpvfz4F15/9cQoidsWjCIfeUWik
GMZ+mBSr/wJawEn2BxjwxynI+QjEDzUOYG159Ur+cQoiPFI4NBEVoC96L+n+wSmorjjDDw3Fum0F
JUzMLJZGjE3vbOOPDYVTWOQQgDU/5WNCGCY2hUo+5JOiH0rwfAyPzYICLWKQMUkXNmQVPzXIPhCp
if9Rkl2GfHdT1B8ze7od5eliDhHy1zG3MzlZBJ4lCzmS/b0o5iur0PZGwrYwDyGd2N0J3syBdBHT
m4pmnywIZAo6fBECUA0tZ9q2mvamoUdAKLCa65Ns9gjVUjdtJqG9s/VgSFPb03O6X6eLn2aTTV+X
6/MGblbhy219p5vD4OqDxDgki8hfWGRvxqino0z02jJ8oL1Hf8cx3XYdE1XxTOHhpmFT+IZivTSp
lTB3SR5NMuuoR+EIM0UcGrBuJDM+mpG+ta168UKhBbGNf1Prip1qjgbhM/aumzCHzPrYEmg4Pc9V
+Fz0EzKuuOGY7p8S2UlwzmRb2lMCZKIyUCbRkrvM6smO6u+RrIMpU8rHmtUtMy0YZtBrXs1VPNxl
87ekNsIjfDOiYQ2UU2DaNtIqOlZhGfo6waJewhbfRZ/qbIXIjorRjE82CF9sEQR9k1ExstOzko0e
WlWQzxqToVV6SOyQzAYdOeKwChPnVaKYrWJFe5UthquAsV+ljG2XxWAECT+d5STclHKXHBO5yrd4
N3sCD8blHu9j7FcygYFAlEmqMQuLSXSWPVXtqCI1s8zHsSuKm65VmnMMxnpvK+10gVsLFdGcV+wH
mhYunq6nF6Eo6zXPEv1Qu+CNQD8UPk82i0ifXNlmX6ryNUpPZROz1PsiwwwatyGO/K9S6kRvup0P
m2IFSIieJSkLZY/8Cxy5KNAwQgCc6NrkqECggJLLuy7YNEcXHYQKeUVVSM1w1a7winDFWNCXYOVc
0RaYmTADQ7vQe7AXDZKm1FpBGBAxCEJFQr1CMsoVl2Gu4IxFzxRGiIxj4eoQofJO2EBKZv2G3DCz
y2rFcIBLHO8d4lT3ZpUjMVpxHZINuKOD4DGtKA/SNgnBAe7x32L2vZjVmGv8/WG+tuEBBe1L0r38
VRfOD/9+mmP3xAgKiQYcu/LeT/+oaVVtlX2iV1krVI5TjuwfpzmMGqLbOOb/+KkfNS3kCpjyGDj/
Q1pRnOu08sb6S1kl/vzgN4jHsNOwXU5L/9DYpNP/aHf+Vrv5p3kQv1WGi2ESnEyT/26d+DB+Qtps
1qScKqduktxWJv00cTvjO8PUDx/AX5Qw62zxpzHXp+usJc6H61QSwURtYignAzmd0l4I6/uvL/A+
9fvVFT4N0iKlKdWVBH9SJwsa9hfLeas42hzp5AzEb6qEr4xPNaKi5NxXIR6AVyYEUXRWq+u+vI1E
zTjjaBrRBrYmZqbrIb0VjKMn1Dm//kvXXfIv3wu+WB/fCy2BnSPa9b3QNswOAKo9DOQeVYp+Eqsp
FC9nMr9ZgGMb/qttJt6v/4D3ZIHPb5VCzcFmmmcOJeXPfwC4cKUfZWs+sUJNUFg5bX6R6arWw55f
VaWsf+HswOk5tDwmjUHcKLkwad8r8JgrlQfoeYyZbZDHoI/kg0Dn327z4lEttIMIZbw0qpQqXyat
SLda5qS2G9rQwdN005rtvh4Q5I8kzfazP/YwK5cTz+RNEelu1UjuYBIVOjnnQj0DoA3C4bFDJBl1
d11kX2p9TqqM6Y8Uvqpgb2kYnrXkDHRqos/uqrppfBNE7tLwlJ4Vb1CGC0smRbTezc1jl2JTkcB6
ivKo9Po1FLh0KrZjqVZfCiN3a052WOJ3vb4KQA0oD6xNjSTSffDmcOVtULhVlj/R1rhFQQvgGCGR
a8hvf/0Jaesn8Mcn9C6Z+3jj659uF5FQ7fdTt5zkrbYL98tF/6Bt7X176lzlot/Bc9jYvuPNgeYd
2gPsN396kvb4cLfy1rxMgvS3JNG/PSb+NA//dPt+0gboxClaxfqVrbJ9hTFc+KigmqCRf+s+/vY6
61f/j9fNePrTdT4deHZSLHkccx2W0Pnd9L2JvGTwSD5guPbrt3gVe/zpUh9vgs/zTf5xqzmJeoqR
5WJV9ocJ77dL7izy1uiEoO3XF/yrE5B+gaHqquSAjfLzTVeYxWRZJDWdBNE5kH5H6fzrC6y/4PN7
9/ECn947zGSMFiNVPZFFNhiZKySkGNm/eRX/7iKfTllncvB2AnI8OeNxaQ69eUdF9uvX8VePpI+v
49PxOPOsppk31BOQdTi0wpVN3PJXTjz99lr+00uKy7+Lx10v9HuK7v9TybermPcX5VGF5e8vutz1
pz7URSwRMJCQvMRkbt0zfKiLDAZt2DqpF3B98hX5URfZ/2KTqbPQtJQVXfGzpli2NLTElDMExMnm
P2L36e+zvE9fdsj8ukrpgkzZUj8dSCAD8jqTU/mkakYbB4YNtQAF8vDSptBOdRJg5SLMdjxpWakr
zn3YE4oRthgjMYI890V+axXCgYKg+kPfk+JXJ8+DJO+7sbnIJCZ+rQGOisU3KaAoSTJN+YriBrwo
C9Rj0TR70jsgrScnrZf2Rexc0sG5SktrgTwecsBMu2V19q5MMCQLUjg0PG7CBLQvLeeM5FYPfdIN
j9wnJ7EkmtnyGu6W4lbEl0kxsIQQ6rSL+zSIQvOI2ilP5q8iWtfCRkp/lcpui8KGYdqxIHF+k+Lr
m6sK4F6tn2KYBUhzQAxhuRnL4Wh34ffaIfuPm1WdzewaeQ4imzK8FKzp3UhFWNwaG7wUyrd2rlZz
qO0vXXufqPL3yCJWjSFn42FM/zJZ0vdhpfJU2BazzL6c8wjKGa8hlLPLZKm/dWnVBWOYJRsx9wS3
qY2xLY2QgGwa5dZm+lCHJ2xQX9l7wh2wyHmxm22vo6FxkGu7I6gjG5JrExKNpAIJWQNoB6HQ6S/O
fWo6wSAMFqTxVu7t0evs9LossFCM5USk5HIhsIhuRFg/JrGhER0KWaNxsvummy0o8v2jsYgjRl2i
AbrirbLbS3KYoos4izhi9Ngve6joHXxWpVd3XQhQsGuiOzVvmQdjYbet3jkIcyCE1Iy/l5F1G4Xz
lvzbiZCP4jCveR4Yf14nAj4Wgj7MtH/gf4MhidtdH23EyGsqSJz25/I9J2Qq7lApr+khjlX4Jn2G
H6/JIhYRI4XS7GhAt+bYxB41VhTwDy+VodnUFZJuOSOpZCSyBCb4NiXCRJ8V+AysW2rbOGKggclY
VezfCD4Z1gQUKLaBvmaiLGyE5thClr3mpWQEp6ABIkFlzVJRCVVRCVfJDJ2sQvwxGdZHPROHdM1h
idv5qoWmhBXm2C8GjCQ7seaXIarah7js1/0Una5rVqV1o9YoJ0HjtYV0LddOc8OsGsSVMiVBr8lB
JsUmM4nwLYum19BwZC8GilzKjXWwyum+M9vnPiO/qK6qaytytlKcXStQAWwSgD3cBn49sSjTrBE3
scw4w+ivFEKQeXH1prEspjdTuqv6Sd/EoS6walqLlzKfYOZU+H01BZo5f4Om6zfIsOzQ3sjO/IUP
mvScFIViIl3AltzGmbQvYZ6YyK2jNPcdKdyR20mubxmhf2aJpi8Hre4flKb1YwPknYp6cSxsptdJ
egF1CqxDRu7xZG0FfquiLvhA7numxPM0AIUW3lgMe5oCxgskE88kCceJ81ggxmSIEV+MrGH9pUmc
YCrMwV0yuAyNfKX1zkuHL0nuZ2+erBXB7PhaPV9iVN4LgGKo+OT2qArBZ2sgR6L16dqXoR1P6WT7
XarfyUmE7GhuL5bMIsHHKDd6xl0o2zFeLMUJcK/eGkP42pj4Apyx2PdsCr3OGncYJiaGKCxGteIc
ynBSYhKL0sSwXRhlXqwPl8Iqj6CvERNCb9cj+wkvhYt5ajcA+G/Jo3Cs4ZyY44Os1vsQeATrYmtD
yCrn31TiEzGrG21wei9Z2pMuoxKN0t06GYTTfRWaC9KPFa/cX4fqcECdCkIaB9TkzP6yqIFpthtN
UvYVKw6/q8qFU1gLHKM/yuUS2KWOCm6WaL3k5zzsVLdXh69aAm5YqIa2V6zorOCRr6PoWlnsC8ee
ma0tUoLQXxxkEo7xjMNCrqN0U0iJQ6yyQe5FPJ1xTwRZPp9Vx37T1CUoC5K7zX7TEb0VQPsiLBci
3NzX596yv0zJEHuFYQwMTA2Ec6maP2ZaOPtRPb6l3XCMJ/k+H0poPtVF7OAxQ293A9bFVzGSGdGM
J0+pr8gqRku6fMkUdXGNMbvnBN50pXHdSgxmI9l5ksz2YWqmIx1t7XZDYTE6tb1eiY8qY9R4Wr0o
0ZEIKY5xfd6HjQNZXAmbeTVRdNn9mLP68RWpVALymYVnT/Yml5O9arDWrUXBiK2Kv+ujNvjzWE0+
A8BvzrKclJaIUsqFyI9UoiegSLmh1rxZ/YjKv88uMZpzXGLIRA+ZPFSpeq4K9QbPHCb6Sgfr2L0Y
qA/wQsJfmU+dCRdO5fxqLRIySqP8Ms3SfT1VRAugwRWl5qP7VXCgihNkysXTFxuTHp6AfEiH67Yn
NtrIrXSnlzKebuhP2MkVWBD/JrtS/bmGXfs3MKP4exnpow3HffJzsY8uQNFndtkn5bZwHwG8nxsP
TI3nfLu76S6rQ7KpvH6XXBhb4cc74o4JVtuBJN++13X/6Qr3/79sSJmm4O8L3IDcjL+S36w/9aPA
ZWOtmczpKCA1i0KW2vf3Alf+F0Y6S/1Duv97gQvUknqY1c/7vvp9Jvhj8GfArTZR1eG5RmiHruef
yG+slWP7oZvjG7Tugxz25gBmHTIYKMA/DomyAhLh1IfWVTh1h6hvxvKyF9RuHpyBumavnAzL1hZd
5xVxEU33FRaS2a8cIu2OpJ09TVp3W8TN7McdmcSiH7YMwP1sYYGpyKXK1Jo9aeWkz8iTE/xeRrJB
NkIu72JcEX7VU+xJTxUJB0Q9PYiBuuO6J2vplhgejG5QRYh09HKp43hJpKsMPAoG3rEhVkiKnua6
j89hGCfmOc5n60xMXAeWXoSLhhIk7yvfCAu5vDMtSQtCygmx6SYl7BF1kN54P+hFN27yTDxkqhMT
bJVVOzAo6bzjiXYpUv0gBuOGKMKZrJLyXl7yu0EnraWK6xeVGYJrxgO7GSDd3PEbdnnPcZmSlSfp
V+agPpjTdD8g1vU0QRziKPlSoTPySwB363Wt+JweRASVlr7Kwh/UULO9wsy+qpFxm9nilKa14c9S
8p0R8V0x6K+yzrHSFbwpht1fW9pqXIL1shP8fleN6uzrrEUomkSykxdH+E1DIVzk9h3AWjWoygxq
Hm0EFlp1FyMzKsex9QuRIMpHjmoANSJQB2hSJ2flRgXJsUHnRMmhro8+Uva0mJ2Eru7IogAQZWeC
R9uk7udRWVlc8ne5cnx7oO5BdRTiFey2Rel8i+LqaDrWsdMcOJQ2qT348G6tkPAaJ+6CKZS+G84S
5PK0r8P6KmrJNyK3y6/bhfjFct2whPVbXxG6aCZELAxS8SJiBwfaXD7yle5d1RnRU+ikafH1utYV
VvW9XV31Rioh3g7PudNfG7Cm3ChWbsJaklaqFIiYqTU8krg6j+8bFVX1OCAyhiTQH3o+wb4bAsaP
yRZcz+KaclNtsGHvi5EgjsZ4ULr+iiiQO56YmYfr+b6I4hvq+sSv5WGrRKa0T81ec8e4vZmt8I7g
oeulQfEtFLZhs0JIo5MQoq204XkIl92chxJbQumlbaTYl3UCMmYjlNFPOBQLAxvByOi2KPMAFujz
cqhq65TSQgXkCwqvHkrNK5A7YF4VFzj2voNZP2AbzBmgJZd4wBhTytYRMLmylZ2cQSbcOYUbwMcE
/q2VaxHMTn9yWv1xlGLZ41YfgdgU6EQH7Q1/IOV5XVESYI4brN2yDmYta1pcvUQ61mfjF1Us5U7S
+XaGEY7SLk9e81ldtoNlPRrCuFUVPuGxQiCdt+reZv3io+RBOcL82dThf8mFrgeiSU9JZKKdz26K
fLwi0kJyRczTW6QZRkWHYIuyCcwctIGoheY37TS7TWneCYVWU27lt1DVv8pa/oLqcN8ITXYToD7U
peqr3kn3791KURT3hejVjepAxJ97ZZuYxVM160dDqmbKO3uOQeJb+mRea6ldW36CgMOb4+YZN71f
qQYdpkRbMxjNpSlN/WbJqi2by+dWU58aGJ47R16zWB3rvAxjCTQ2tn29JXgMA3PpAuB/CecQOrXV
39LNYKqp5Xw3y7TEg5WlnLXa15qARqAVyC9iOyMpKmQYirqNmPC69MpEvhqHutpkhvY6LiC/S8O8
TFN19OHMWXTMJcp/SaeeHhrHLYDyuOSLvUgjd7LS6dpODoVxlUwEaYxdM/m2pMa+pjY3ojS7w0z7
uVEWojsTvJ4aJow+Qh+fAKskpyOusYSI/VyEX4uSBPMC8MNGtUgzm8jJBZ+RvphWaUGLS5eNUYZB
pGvzzizbZl/VepDFauLHlpkHts1agvNw2ZZp87XF7FDix0BFs62GMr4GO2eSHANDYe6YkzpYmANK
fXokYw6vTYikAZy+fRNpFyzco6AvUnvbMTHxiYKTGW3M8yEehu9ZI6ONwpZ0oM3HzVwvbHKnqNzF
JdyIRRR8NmKWmO4Q0ibBBmdSUXAi9iOQo7B1Ge8u7LjHY5Q7h9BZjlKykGCCOjAIs+W6LVaSs4XX
wDIv0Go2LrSH2B3G+VwP8V2pLjMPRCUPag1w4hBLLd1k/2I2yCEKIi22kw3ed1bQK9gqkQdKHp/7
RD2X4SL7GWKlbV0vR60PL8Jc87NmOY/s0Dda2sirwRZ/kNVeoc98scviOe9CdsyWQ9lpSoaf44ut
NHvesFVmEoP/xZVlca8M2bcqk855m9xmEfnAmPbMTdoqptvq9Wu+WG8Rsw7aZ73z20TnV5Js54tc
fqoTmCfjkFyFzlAFWP5HXzRt6FVhdiztQt6lUxrdNzEBrSJ8MlUi2VRuXSsv3tqifzI0yTXi/qoe
+SrrRNSGhupsFIfQNqfI7xHEJy45tiObHel6kQHH4qe4VNAsEPaYHXP0Fp7OM9WQRg4wRXmd7I7k
r/DCBkS2JXH3QMoeoKlMYoJVPhRzezWV6hpfVEBlTnVktO2h6ZSjAc1Dqu03MaHTNVnxlI20C7v0
1ZbGoBuqftvR7HY1/6+opHtmgBdLdCyYUbWDtSfsdeVSPMcdh++InCVtrT1hjuu3xgZaaraHpRNB
bmV8PLRublp3x2nh+5xgHAlUVX/VYMS6TDJvEf7xjznAR1zcSZsrri6zAVO47bZUbl+pwPbJROQH
lY6r9eZhMZDBDnABzIaNlyMeFI1fTnuCBCY9ZsKMt1rRv5An/BBZYQnKtrmSLRpoihi6EAxzUPaN
WEFlYmtXU5Z8aQUEjrqTca/UzblOnAuSP2jzzeZmIBkAVCaYrUUvtiTCLf6oAs//H/bOZDluI+yy
r9Lx7+HAlBgWvWjUXKyBo0Rxg6AkEvOUmPH0fUBLMknLUnjRi46wF15YosGqQiUy73fvPVpP6w6n
Ow8jRrAGY1kwbZht1XK8ybpq7qnJu1XIvtNz0giLCW2UuSl3thHu+zF+DjWB6Ng75xG8dzFtajdZ
6s5GjvlSQ2BTktswnY2UppktaIbf0AmCBmKzkTGmz4bTr60++MzQ8mDqrWTLoYZ8WNUj2iSnc72P
BQ/iTl7w9bkNZuwWneAftJIeGAubTM1ciyx7utUxLHZNsvQdo7zKLUmjKAMOq19FDDSVj2FXFCpk
o7yW+wR3B9WgUd853RozuDJejXw6uSoiZWn6tNAEk91HS8dN9kWv8lsk5LpURW4mtDJPFspaoV5z
mSdKv47MYmlmSbv0u+IeuyW4AqervG4MtBUdFneGzG960xrWtQG9MJYfzQhcCzRqXmnUIDC4u9A2
H8G1XA4RsgsaW7III3RQ9l31IklMzEI9LSrKSOVAFpJjg6hEcwuPND6/+bNjb95SWRa44aGSmonf
0FwOjX3qmohRtn2YjV8e2uGjhtZRu+ZBm0Z2N0X5mWfLiMxFE3PuEBWMzD2O1Ce0vnwzxfjlRzpZ
zK69rKwJ9kw4bQaOEhQAhT3ztfyr7DPK5ULUaBVaWUV5glml13rSrfKGTKbIin7Luntwe2Njj2Sx
cnicW1JyHs83LogQv6Byvab2rGN7Q0ASbumm1NntulrykFQwycNzUs4eVyTmAfOYZFTsOt2JVojK
y0u68kX8FfYrrevaiL8xOhWBehIuvb95dzL1s9VknjJRCiiVYN+pxcekD3ZNGH1q7OaudAvqgmiV
cORmsOybATsm+97TWOkPUQlHplZYGbNgR1Jt2sVt+sAveBdGirW02QuuwqbE8pQpD2ZWdB+zqQNf
VsUXQ5gUy5pWVyxGE8LzqC/wGt+XHZ1zcXJFg8hjUjpy0dXU1I/up1QUh8gIP2Z9GP2/GVn9/3eg
n0vK/vlAf9M8UmyRPrY1B/gcTMC4+/q//+dPX+f8k98P9bo6O8oxs4gXNsybqRVZff6I6dSfaRvO
239NrVSbzDvGcRvKoGA09cOhTvPbnKVxkcE5C+kAmP+FNxOL6PtDPb3ulMuDp0EgYNTNr/76UK+Q
ekwkdMFzyxBmOhJ6EfEJCtbMWmEmdYlY3DWLLBUnwXJP0TfPCs7GEogc9TiFl2nZodLlp3Qs9mmd
X0dg55qZP2fE/hGP6ZFnTbLIQdQFBrstdiOHUO0/TsSI3QjEZtHpPBcTq+DcNa21jJBsiHmiJbAM
NwZ7dNrEx6blKGo5FB8aXa59xskBYbUP0nUfMJpha8xuaU9+tgk2EK44g6m0iFKQxhbOYjuvojxT
jrOzIzvbVLa7t1JIcbcGeXm8LVkf4992g9A8yDiqP8W9Dxu0MzIdCCKUQk4x8YVd51YMVVrU/cqW
NAaAjpfxFnW8m1aVhMWxynBMBdSED59byB5eT9LcpqRnQa8qHAdXbsrIeix9WB52X4HdddJ+TZXk
MfLVaqHXDaHnMFpVEye50MXz4XNQUv0Pipx2ja1cd6Ry867fmTz1OqU5DL1g4m1RV1paC5nq12Md
PZZKcYEvQvGKpj22NlK3rZRbZx6rkEC47lplh597RVXaCf/nM2U2hFj6rRY1DJCybeBXB/Bdp0wf
Thg4P6tjfe2GPPpi6y5xO06+9tbXgrMVdkwC0/ImLSeAFdEyBVjfi/paNs7SGHrOs+bHzLY8KqIe
Xafep3HfLpwMX23sPudasTJT62T07aovHDrnpoVW1Ec/qi9dXKus04yanGWpaKvcDk9TkZ2dkceI
mE45nYH1oFPBUxzZW3iAt098losy7tduGJ5ivzghH1xMcHaZou4ZTW5KS33QRbx2ouZYGs3noHDi
1fzRBzbJYYnHPtM2jjUctHm5bF311HLAGav4JC39iuKfRTMpdyI0dik+Ty9t4QMl2a6mK8eJHELS
1ZNL8W2Xpx+ZS94VanjdhMraL8XBMJ01gshJjal3sUbt0JvD545fgn2VtoRsffC7ac/GZyHD5hDY
aNkRkvgQ7oqaMlRnlE/S1q87d7iWI61AftCJK1tIDqF9eLJ8E6qInp1lSjaEoQYnbRoX5ug15xlP
DNVZpVW+17ilWtfcpR2F89VcPV/SQT/SRa/SSW9mBiOh4GqYy+qHkhx/mtpLgx57GIfcfhTbl6W/
YTw7rhXDf5hkeuznEnwna2+BpjDUMBhjzkX5+lyZr72U5881+kpINypbXiSiUDvS+XNtzqX7HAGJ
qw984l3sXsY089eIC+Vc1Q9hSSHyZsdrpj3Hhj5/Wu8XglmXygB0xd3Bp6XrDUdVKAA0Ey5yuACg
OCU1FjWte9HZ9JODAUFAgySQWdWpnNECfZV9KQmJr/VJoYYO/EA8gwiixroSqbMrZkSBnGEF+Ywt
8GeAgRK3i0IlHaOHeKNpTThkEU7ZhHlEphf3jQ0IYZyRCEo2nVoYCWyOv1ozNEFx6Lgvc+ENc1Fy
HnfXnD8/NKRrKKbaOkqbYoXOywWVREdgICPWQFaAbEY1uDO0QZ/xDX1UVmuS94diRjtQWnJOkuqu
s3Cyg3S5DSzB/U4kJIcLQWvG2Z9BEeGMjDBkfMdkLKfCfabozGCJaUZMhIIh0X9iPmoSni+sWf/8
7P8/aRnlT39/7s8/9f25r7l/wOA1LItRi4OVEzfIKzGfx7rgH+rx3vJcaMDDx4JZl5rxb4Dj72I+
wwGSbOwKmNG4JtG2f/Pc114Kxv9yqyDm44ii986wqNXBTDPvMF4/9wNp93FsOOlZ0apPQUSMdWrT
z9oodqmG4yFmUlXLdmULZvodlnr8CO5YnXqH8Jffk6XI4JN4baAw+Gr1dSDUNYfUmz6ChOrYRbvo
gvGgNv7SUubSDa35AGy3XKRaeggF1RqdIrdpUj/CSQg8srdf6TulW0MhtxqI4WJwuq9AmqqFg7C8
JDi+ssZOeNrI2FSlj2GJHWvgEIgpwiZ/taDu2cJZkI/rvGDUOQqx1IP0oh0E39KguTdmlkudj18L
1doTVSmZsMP4CLo6oZUVQ0c4Mb2z3Ut6SD52PniZ2EFnCENqLlMbBTy24mgxBSUo4yzwoSgzYG3W
o41vt6qQ6fUeknIYHBtmzIjTFyGvyStGWtcyXb/uo4R6lCBbJbl+9DX91qfDEmply2DApXyzqbuG
2gnF8Uz0tswYqXh3yo+OoMnCUkf8E1RrV1Fw0+hx+aBW/YdxMmmbngMuBvpmqvWpF1fyYQi6XZQn
m6xE7DFbQUNETylaa/i6F/rOMQz0D0bFEaeNqDCyTGuVJO201AU0lgncrRcAEN4oRXttKOFXQYpm
0zOORQRKLgrrsRkeS04+Zmk91qNRbFqpbtK2DlaSiWvxgZBjfpOq+KCeomD6ynPsejJgjNnIjzwi
ZOg4j1KLTz73905tcnVL/QNIIem7ZzMDoDzSqG26cDh729o2cow9NURpCE13PBnxxDM7KjJox8L+
2OP4tCP6UYyheKqmTt+ihLiIrZYTfqso+G9oSW/0L9a5w2NdP/2Mi8lPvVrnZmKehY1UZx2ZIwk/
1jntD2P+z9/zCn+db2gpA6YwDztVwmm0+OB0/b7OuZReg9NViflTMkYFyb9b5/429hYYN00xW8pN
sgTuu/NN19LMXBZWfx57o7ZXYeeTFUX0xNAwRiECyuwZSgKD0usOm4LWaiBoNZW94q6cCFAOnTUl
h5q2l2kVE+KcVklf5sTAmexb4stAtXWGHiL9adUEMkIkGSRl8VrgPrtqpjU3Y11Tz4WrgKJefyTb
zma56C2gsIoPerKyAn1id570KH8Thnvi9m0waKtMD+S0wtaYaVjV4Sw0baJtWpVc0UZ2gSnuUg23
0pqzzw58JwtTzmBrWyrduB2MsY2fe8MZ1kHsoD4EQUxZwgw53IbI2XvFd9LPkQ8myA16TQGQPXYr
JZUA8jKSZ24I/FrNOGZ1QorPnahDeoEzanzUUQk9UZFKE2P4bPUKMJ3ceaZk0/SajAXOLvkzorhg
rjsc+AOulIswQNF0NOyOQZTpXtpU7KKlkn/mEJx4utYkDBd1FDypIo+2gn5qctPq1pEmezRSWY+a
kzJYm4pgX0olvaSMOfQIELobp8yfEnsSGyM1AmpDO3NTF020UjmveQk+wZUp2vQyUanWqtgCZ2XH
Cl5V/cqhU9oLHOMpRILZColrBHqXwdPAZGRcBDYmX+Vzyf5za01pSySBo0pICNrufR8JKWKqBTWL
fk9J2jmlB3JTFFm9d4UaL3UljCH9MLIICqugv7/DNB6jwdvC9ITdj1eu6+O0cItsVbehoP00Q6aX
JqnlFiNcPkl+Tce4T3N8WkEVgzuTpJn9nskJaKjRa0o0wJZyINBMVnVFm5fmDUHPsDeSnTeNWoUK
O9K0Rec5qC/VHVbkvxm2ESVbDZrdIsbW1cof8mSrYTBbgFf9Fiv5b9k02M398/bwz8oVygB/FvTi
J78vnUhDs50CNUenIOBlEXy1dFqmydbR/sEj/S4NWX+Qz9O/GTpeCObfV04LDPFcaCwsgr0v9S3/
RhmysZu8t3sIFrrZPm1ouphLJl/vEOuWTVSXOMqJPSDSR7Hr+Cp6eWrhDdCaYp3Y41ZhPLiIw+xq
hgcuoA6XHLUwZ4z4KdK42U2SyQEp93ihWojpej/6eA2cniFp/bnP8IjEw0OpVsexNXaE450DwFG5
MrlR/dK4C1BNEJggZjTp9YDPAAiW8YUk/KKzrXrhG+qVqyoIt44vmNjIj+pgPw+zFh735U2GOD4v
n0xcJ74rij0Rz6zuzbZsl5EGf21W1+OgZC+I4J5XSUtoHqjZrMWbPrsyXGn78EWoF7NmP/XYBJZ0
MD6UL5J+/CLvswzNWj8pbiglVayWTOU0M1i6rMj0DrjrkkIRBqcjc0+1tRfVaKw6gZsMT/dlG4+c
ZfN0kRUY/Vo1/trY9pNPJSb96A7ogOZElYxO05znj7276F3K/NHpb+xBSzwt0x/itEYbc6W+GgcN
63HRXVh+Xe8rNf9c6WEsl8DEC3Ul8F7QeZKZKBovIMXQFkvS+rdqyOjWJv9EMkOdET73uVlQEQeU
sZyG4sCMY1wotosUA4c0KHc5JMdaw7GByT2F8DgI/x5yJKJDAv2xAFeGnVLdsWUkMczrXhkzLNIn
Z+qpMweL3+cjgeto30UUKJS8fZ6j0WRHwjk7+456mzppt86gA1CHYF+YWdQkXtNX0YekVvQUkgKY
jZXWO8dJH68gfiWs1NiE4rQAs1CqN0E3XvmVpMpeGucqcNfKoG+ZHVyJ2N756bRJunYbqlNN1Cu4
bZzsTH3iRh90AIkqxYzMWuu+xA9Nw7aZxR+FXdzaRUjC2fmQKRwNXFlvYbbdUox9kH10I7P2nmrQ
Lf2PiP1pWC4wflLGEBmMM3qxVjVmUYM9Hqy8UC/4yHnUtPFTTJtnJ/ndlDEQK+iNYmvpvjdM9saY
xIMusxW1db7XtOlxCvzrTFTlbhQNHGDFvIna/nOu1KusvpWtpi3cyr0Kwhhpp2NsMe2lpX1Q3Ril
o4g3dSS30RjTF2oYx6hOHrI2iGgztNZlgwfdqMplWAbRQlM496F4Pbo+Ip2a9cvJmk5MqM6h6nzU
9f6iqBWMWvPRS3w2StVaqn58MwXhudfMj5XsOd1pH9JK1Vaqjrs7x6EQJcrJV91NjFbXMltD3sw/
dz5GAKNndBOMvWd06UWa8tdINWMMa7xeZjsnaA9dk1/wNyc4o4axp3C2AQvYp/oayXKka0fJs+tQ
pQbGU6zgUxyhbQpKNaRQnyel3iZR96l2+3XvYi53+BUM56Fx8iMeKWVRUPRuaAi0jbGVQXk/2lh9
9BlLxTjt4OjttaNV8OeGHnenNO6jVu76WmIx65gwOyZ+j2Bn28aVnhOzH6fuKDosuIPIN34unZ0r
S3ZbtL06yUf4dgeqwe/svFQhI6oohOZSL9NjmFcX7E6oYjVv2D7aiNbdFzPjq4avjMM0gDCs2MGI
uTSOum2qVxeVq19zk+yLlorGUDbn2lfXnU1MvG27eyLnyyk003VXq5dF2l8AmLhQDHVGhSiox+ZW
lUzrMVhkU7/tKRJw2eAOIFqbdLrCBUt7SVYdDUMyJ+aWddAhszq989X8Ab/Y2azErpHmU21SHVpY
O/q4PnR1dCOc+halIfWE5a87Ee7szgH3Ue60DEfQRKEr0+zD2OSUPjB3rbX+GDKlj6b8YUiNG5eq
eU+nwUuju5pGCHVjQo7Ny/LMkO8isp3n/6SrF+lKkPL7573JB2ZV7c9YxPOPfd+YYETlPKezlVA1
Auivz3SzrEXVG2ZTjlJ/goy+b0xM3KYamhKHLHMOVL060xl/YD/VLb4LM7Ro/qN/sTN5m/ebbaiI
ZxqKlj77UHkUvt2XDCoFX1Lm7Wkak8Xc3RDUwouczHv1vnDjj0GR/y84BZdFlDf1PLr7+waIEZxD
fQoHVTZc7xOvWtp0lRWb5UlthXuXhJViweZLx2mLdicIdzV5a+7q2p9u+HpzZrFYAmPHDj6VRUxQ
ORjdC83OSoqYpRguw9G4NsaiK5bWGNj1Ba6W2njohspyLnu/6rp1rJGMofgzItmhpKQyU8BIEdZa
fVX0adstHCXANkLffn5PUQnIMTJmKrLWF5Ga/ck2y/RstmqZLrQSx/+68AcDBBztFmnNjsqO+sI4
q3gwk0OXxmfZJLSh4AtYhO4l7pwnUZdf8ypY+7V6a+MWzZmqC8UqNrrKq1DKCN+8v3azlRiynT+O
1dJIGPfhrF/SfvscOsg9pXnS9PK5NbobuICknEEZf7ITkKRukLRHnHASAq6w9mnkkgLJqMObdNKn
imI8m3Gdb00/pKOvoecq63za1rAlrXQe9oRLTnWOcj/pTrcMoknfNLl9N2rKfco8f1nEIc/cpgl0
G7mLiraAyqYVab1o5Zjz/wI6qZZY8o5SZrwnlpOH13XQKavW1uTKHVRo6iTaeBd1+BR1Qiu0qciR
KprpugLpvg8VTftN1ar+NoH7ci/DmYQsSTBxziK+S/xWo6yCgF3Dief4Y4997Ga6ofjFq7Di54za
PAoJV9nGXslV7om9uTZWzBYWv43QzirIX2owhY+GDZASIUfMeWfsGm+/U/R79W1Qh8XJ14M9h+th
kQSV75W9qXuOnbirqvNnHJOFK40t2jGwpb/X+IyspMoWo00/rw/dDk/aQzNQWlLrwLCbplz7zvRg
C3bnsY9wwGDlI2ND29NlBaOuZuoy9CiTWkgKXoTDajQoktHIR9IJVpnUS0zC3U6GxqRF35j4bDz6
HecKPrJ1WY5/zFwWhokTVy1XPW0quo9wkeSwYmGhoNTG8LpBXPYDwJQqmNNLRnAX9MVWM7JjOzgq
w5pyoybcaLZbUfajxje/XkbeLiK8s2RCLQQt1kvaMek3ffvOupPeuyVGspPa0TzAQkDzulTzhYL4
hF/RhOcZEIz9saL/ZOV6SZq++TTfXfPdp6kMnS27JKhP2B1pA5N0gwUF4Ul7a2YtbCTGgYHFUc0G
EyVSZp7CzMfDJAF3Ooo4FJFzr0YU1zMufPYTc02DwVEvrCvVn76IoHrACF4tKyo0/8yo/KcXzE2m
Pz7B5WPz+M0ycnrMnv73/xyf8q/Fl5+2s84/+P2prOt/EHbF6AxN9tvz9YdcYEK7pTSGBzMPREz+
P5wkL9AHKAquixqpGybc2h9KK7RbYLYqcWWO9//qiWy9Wz9YNISh26Yzswq5+TRUjtdagZ02gYNg
qZw1hWNsQ4OHak5Pfh8SIBSkOlqylUKL1/IlbalGpbx25wimbncKcUx7jmYGLylN5qHGsq01+dF/
SXEKhZoOK/RnmvdobuKKgG6tOxPEdeqva/YiGwy8cz1hjzu2iYZVVyruWmr6fU4c+0tQpVDF9KFc
F6GdLntMAV4XdECOCv6uYVemRwmqfChnDjYjI0LG9B/v+9zexzE9Vj3yqghRLetW2bQ6IY5BV72u
IpKZujTfp3qHlDge2W7gnbbFKnTN7uTkKtkqGQcrl7wpTkWGzYx8ATMkA4ewOYg50sHuoP16ui/L
1WT0SxoC60segUyhxyb91DlivNG0j5HJeAkc8Al8TLi0XPcKHguYHF2jOCvGocimnGnxlxpCu+Vw
ejEbzP1OJ3CqOMO0aXAa7nNY4Z4womGXjLW6qtFRkFt9/JrOoBa8Z45O+VmpsL1HwxaB65FWMBYN
hr2K9nsvIUJ3NTmxvcGBkVwNnXouyjDcuokSQOHGTOsl0xStFYV6ScrOcwgCccxCK31YBZNuzyX8
g0nI07GJZ8QhugrCR+nfkPUpNx0JFnBRrp3vctl1m6wuor1vKc6RGlZcQpBWj1Ss1BzdtKr1ryiO
/ZSGtPSHufUYMAv0+jrVV8BKPiXU4q78pnxWiW4vGiU4pH4IkyIez6maFPgEsudwEsuK+d15zMyR
PR1eBVM65P9ytnFKZ+1kR+IXKr226OLxJowpwtazbGOG/MuVzkIbRMusbux114taZl9ijmvSlCO7
XjePnSiV/WjY2FrQpS/FC7ZEMsdTa4+JJG6fJEAWS5uDrFx12XKjQaEFqiArQeOPWRRLpSg2hex1
5pBTuzHC9CHtbFKHg0aJOfmrfkB0om1TWwvTd0g7ZWslc7/qSn2w4uyqaNs7SJDHurT11tOV8kQ8
aNzxAI+RpKetIhgYZo1Ib9XY91eO89Qow0WU2heRaR/GEJ4tXpZNNYzAlqc1rxkLTn4QMI6mTrkQ
WnTIQtzLUSv8Y+6U9TKzSmPdhsFNOA4BtBXgfXG3TSo+JPxH+7KHbqnEtu/pifMYtIwnGys6D12B
+zUn0q40XbZwXJzaVrpzG4FjEhK4RBAviDkXzrNFUV7bZGs52Wsa+hdqVxfrQFevSzaFYRlz4DQB
J0A3osXHCxuBB2tI75yURgazvSPL63CTuoV19tkI7dmZPJeVdi2mdje7jYwsW1kNG2Y1HMh2JOSy
u8fQMjaW7FY14DYsos5lneTXTqF/dRO+w1lqPDXueG0qOGWpDD2O1bRWEtxIfMZZ3GIuBQkW4BHp
sKd7qZ99QZK/BRbGMTeJdzxwL4GAnzOoJ2CXqCMotnZWLFhIE0IE6hWRCZyi44JYwC732yWUK9xx
ygYcxNa2iN6UcFRqIPdCHViJoi8W5c8pji+ldRdJCBeqLM4oDg7VecWG9gCMLC39Ug2O+y7YDqqz
zArl0OHsAUj6CCPTG5MBASh7Zti38NnYm2Tg/SZ9kulT4bfXuH65I1XyJ5jVe1JVlb2s6Z7DXIgl
Vy5MH0MsDfV1Y61NtAURDNfm4N6mMQlhfMA1kw51k5ly4fog1iBYMA5R146bPY9VxIYlXI+4A2oy
MJYzuGziw52hMdGa5L2qNfjZnRvLKu+dsL6edb42+5qP5VOlQihAifVsA365Va5rEsuUIK1IIELx
CK8MGR6LzrhmX/qsKQTBpIqliNyJqm4Vt9s6tbJWw/QmxijbCO1O8pvaQB08S5QrX+kuarVd81U8
1a6zxkO/JxLNBasVWbphMeT1km1VzvRe/9K3xT3/K5O8mrEckUkWfJOgn4f9Ysz7R84wi9xRLogc
7ibFXhUjqlMnE8gHPCTC0q/wQY+E1yx7ozd4ftv8oWEvPpY2YhM4i9AkQdHIbQ4eDf9WMe+RN1rc
3fdS/VjI+Jpms82cXo98CIGauwryZms3grvT3nSiu8qL9KKcciwY7U0a2Vtn8M++Me1yM9vDGkSW
wQeQt6A1SI2XvkqCoeco4FzF0j0Y2vCptNLlKNV2QaT8zpcW7dz1Oa/FdTsEKmJufdPiv+jKIvfk
NIei00MqaAN2KGfq0+Ao54VqKu7HpLnQJWjwEiYOEe4YEFndz5seRL8yv5PluNf04kLRMWlj2/c/
M7NNb2pmWItJb/ZSJfTWU1ZAnk9R4q/0U97FTWbvOOwhHtvNp/nEoMOSj4uAfJL21coUj7PlPVaE
HZHZM+sts0KZbDQ6VACg870kh7GYVO1TyGl47RrJbSYp+KoGSjQN7TJO8A4mYIjygvA+o++tn1gk
9JVsFU0Ffmu5sMmtL7RRXyZpvBJhfjkE1ib2h/2A/aRUypWCUb6Rwit5/vENoMgg7mxi88FKhgon
A3YISUOJe8pDYnDzbac4tN/BlY3UTYAXB97MKi+AVGV1PDBvnmhhyC/GJriQDX1jAt+KhFmfs4Nv
QNfhpVf2OVhicmN8TwmdasUuVZrjpPSfall+aR25CmJ6Yvx0oOOYiAT9LfafvY//WKP1VrVxXnaI
jJHgXxtUGjIEfbtDpF1OyjbKlbOabSMOYkVyTXnGbzSbd4etbxexNOZfJlvblwz8q0o/4kb4HU1N
OQ/OZ9lv+vbTUDwHxjJj9Pxqh/6TM9bPNrwGgs73K82/yasrFX4xaqBAlbMOd8yklsFmzDQx/fgQ
tw9RYS1+fbmfvnt8mxBQTSJk71+Y7hQgA9MiuOyUh6a9qIIvefrl15f42Stit8xmeaY/gCp/+4p8
yx4oGynDS+BYcb9px3GVEhbIgk1ERYLe/Eb6+Mkrwv3GoYV+YRP/2bsTQ0d0UB/VJrqM6CyJDOZz
waZMfvOa3sorLzfdm4vMf/7qU6p9pUGN5iKxRBqSB1ADy1+/a797GfOfv7pC10xNJ4kHXMryiLF2
kRS3vh395iJvPfp/fxnvPpoyGZOyy+roclAMLxQYOy9NCntc+5OIFlZ91tv6N1f82csixscAGtM6
8A6sO69fVoKcGuWxFl3a1VWlBgsqbmz/+d+/dSireMwM7gMksLfX8In3WU4nY0qHQpy6SzsvFn16
9+uL/OytQ8Z2octooH7fyy9Uoth2FEEQk+Wn3CJ6wNmDxcD1b+L2wsRC0ftXv77ifE+9El/mNYgl
7q8rvvuwmG0x99HG+FIdQLnWHw02UL++gvb205ltUUKzMU7paO0W39d3i09dmPhzBi27jA9yBy5u
gaizECtxFV6LBSi9NWis9a+v+faSf96Cr1/Vu0uGHSxFLCfxZWfVHJPxO7osCsX211f5+XtHsgXU
DHfeTJR+fdtZk2bZTabGl7S9LHTtYqbm/voK87v//tMxtfluAzg+S65vr1DWeqSNNZN3m6MvrYHs
Nh8ikzxeHP/mtfzsHXt9pXcLHCfiQmq2FV9q4il0roR/U02/Wd5+fgnSQRhW+SbZ7261CEK7Y05B
cpnnZwGTeqAJWm+t3zzqfvYV4mb7cZV3H30iu7AZA64SJV9Scq+GsmKAKJJ2kTSXSoIZ8zef0d9e
FrMWjC+mqvEo0rDBvP2MdNe3y8wu0sum22Bp7S1CMde/vg3+dqO9uwQy2+sbjVJK3tCwSi9pIsD0
EZBUF795235+CcPhW8OGB53t7SXiYcDRz0nrsk6/KNPO6r8F7/5xR/W3W5nX4DA94HuC8Ka/OLxf
PXpYOm2k8im7ZJ+XtWIRxrsoZmPqPr28V/+pssYvVdnrqHui8OIr79b7fN/8g99VWQ0UL8NQEnRM
Q1m0/rK/gswi98cAEfOLypLG5/fXqFQFiUAuUJtzfABi/hJlgf7yUdIBZLG+v+i1/2JU+vJ4+2u5
EwTfkIotppGuZekG84e3N2Goz9gFpmFHWVRVaR8UqvVndqip1pm6dM04Ib+rG8kytHwcBlHfksEb
R832xiYSZ7ST9NzODch4tZSdELlxbBNlXPZ6nV9kvpvdjEben1uqBQ+zIe5LEzT9Xs/65AZIqLww
QYXni2bA06RH5rZgpLPWYok0YyPkPoSqqroIbuS5JY4b0003ia4x4ktzXKcgT54VI5rADVhU7roh
dQ75CDRXdVxyvBZYUT3WPfyW2SIK7eQyy1r/VmeTd92WM51LpYAQVFdqz9yuqQyZ8kj0daZ/mp0H
Ohds1Q7NoyNtAfprfOGAIUd0V1JqDjUSxYwKA04FNQzRgWI1EVXxnRJPpCKqLoExNsz4ANwqM3tM
zBiypMXJZs5osknX9aVNPfp8jHWaslpqM4ZH7aQrLsiAyUf/BdZD4hpqrTsjfJRqxvmMUW4YmxGs
7G4MwSAsi8m8nrSa6hq9gwpUgAdqsBntS4tj+1Ggie+cipK76ymmqHKUgnT9IuTG7I+ZS9RI2fy3
Irx4J+ZHzT/PafB1MrnxHuXnx585KOYf/rEquAxkkI0NzBDfcHk/ZjUqy4IOjgUyFd4Ccjw/lgXx
h4axAlaK5TrfCsC+eztZFvgiMysw6PhnXfhXVV5vH03z1FngH51XJp3mZ2t2s75++hmhpvTQS8xT
iJpbn4bh06u35SeHY/Ndk/WfHg2TeTbIK/bcwn73fG392mx8MbSndmL0jh+AFvdT6sfXQjbPDbIi
Zs1omZkGXwol3+Eq2coqZhRfktSdHQeoK5vclhhM1du4Ddcm1gQlJe+mu4dWECusZ/PCFKZn7cXP
YHRNBcaYuUHPNqijAkw3FoI8HH3kxThBfFHFju4+/7kXKuamLLSWLHH20jSj9Gulz/wQeldWJrMl
bOiBch+nULPdxPzShgOzbPoXFyYekAttxq4GmnO2S1tZpY68hwdorNhzUothmv1lPNDVZWAiWGvg
y71R5hedjB4SXT+A4iFpnI0HcsvVNs2LbZ4301L61a0vUlx/0RFKi4HXPn9QVHhQxAGesamem4EI
ZJ1N07plhhKUzY3NxFzBXWVU7kOiKtu8bPcNWPCFaMerIXH28TTQIDbJJfb6Pd2jj77W9V5D02Dg
Kss2iR4bDBJebTOCFs7/Ze88liNHsm37RSiDFlOIUIwIajmBkcxMOLSWX/8W2Le6MlnVSWt70x5X
JRERANyPn7P32rssSi4lOlgoU30Rqs9MKA6gHXZ5bRz1ojb8Rh1Ombb4JvjEpqp3Ju1Et9TB38ZL
t1vS7KoJ4bC3i7joYtgvcDCZVCQHXdLvugy1qrowctIWlIsaJz3RTiLo7Xg/E8LsGgljgjAh8Kvm
YFuCNut1JxjlxuNe4AEoumFDfM2BNrDHfO1RZzY1CuNstmQmd8tlGus3IqcB24eoJfThJMZmX87j
PpoSyBwMxXJn3GUD8kQ1uzWVkqTIJHsE1vGghNajGfabsjEP9mIgFm1eMFJgyejgu2rtc8mXR5g2
baV5+ZZmNNUt4TWhgfhlOlYjSQJ9zXQAXzZ/1G5VV2fIEZnWC2/Bhqi25yhEtDO1XbKR+p7Hpv4x
l8nOXjlwWvWChepZkuTb1lrBG2HiD5PjyUb2tqThdZoriyvm6Jgma5OSZrOrS9adWByvrgB1RnGE
RSrP3xyFhEkJ/0NgL5Zxstfc9zg2F1+qIF8Y5m3i6E991UYbSWXyj0OLtycZb2UluZB60CxqPQKi
rgl6kxTjZkJp5PUzEcpDJKd477U2cLIK1I5ODs/YmueoU80gNswH2bQRO9chHTeng+IChLJ0h8rs
eb+bIQQGOEvhvIoX4/PUxOaxxo8NspbQJLB0UK2llP5sVgpfF1aDu1qSg27RkQR1YXpTwvwGYdHL
F5W5DpJmuKh1c9GRclTpVbsvKD1cRVvzztS63VFZJUEU90dTidAYplWxVTCHhNPiBMu0cpD1rArK
ri6xV8TZpUWBw6hFaq+ZajHIDKt3Y5kfmlB7tdJ6x/p2SoDfeI7CYHPOpGOYMv1VMjB2qWlMXpeV
+W1p9AxXFTh1jz3joXFoRg+qw6VOG52VxQMl5NMU7f2yKi6s2mJBxBuoWON10Wv0VqzKZY06ILjZ
ZVodJEPiVUt3zBJpKwxxkjP5kUOYp/VrrEWYbYspJS8QTU0bE1tlA+NWmAu6oR5bb9VIDtWyrI5E
vR7zu1TJxw1R1lvNKmPo4MDThL2kwRLHzWmx07OmVjuC3K4ViLpeRjTWxMBhlbr7LHl7VQn7INJI
yMjm4d6UqrtchSeE8TND9tWLgKSrnAT7vj+Mslm+FPoKDYylH3UrZH/uSfXjcnAbIJRdMgttqG5S
YL1DIoYt84Z5y9IvHsOaK6h9dlfkWuxj5XIOPZl1YAOic0F/yssopvfM6YWrl9adUSP2cvWEXnau
ovye9TDkQFrfmeF8ZxfG8rSEBfC4Huq30UdMhcZp0822tIXzU2zLuS69jH/ItNbon5qYGL016Qhw
VzwKdiXRwaTBv43Ta6PZeQMAuXxeARLFGK867qBvy0t5tg5pPd/LIgmGmLkx8/D7PlPv7L52LqZ5
GvalhPy+DDMixfqEEYosP8OIBmY36fVTb8J1rErilFPBg24xRnalUHtSkeLehqoxbeyeONGkl+fg
99szZ5KfeyAf2X10rkkDWs3EHEF+3f4ZZJskniXFuYOrRRzX3jDH67FpN7+/DBqSf7qObljgSTVe
+89FQGcteRoJcBJZdmpN9Z5V6cpmgsxySc08r2bNOdsNaDMyO921qgDxh95MLS5YqY7kmLiJk14L
xo5mLQea6D3gy24Rhd/L3hzcmVcAmu7ZlL9SUP3jJ+f4ZdF9MFb156+/kJH3Zdw5aXEecTtHMzNy
oPHlF4kqH9bDvw5n/5KG0etaXd38Rjzov16l7dNqhus0nKtItOjX9b2G/8+Vw5p9g4HPOnd8kqqs
vKal6M+OvB/tcTUVVyxUWF+WJGdouPTXZAw5t5AyvL6EWyRzQsJAw1auQhg1yugcS/FhClFHjirv
jZkz+p+BadwYSvaaQhRUyJDcLmPthq1iBiKL0yDttHeJMF+UgUyUtRpSE4HDXllr20TAQmIrorQR
5p6gy+9IBl4nmFP9ym2drOw0L9bgWtYs7WRlTE5ERObuMiEvi5QOnp+TWL4SRw9hr+R39WiwfygR
2oKKGZdZdTuAYcFQssUpKGbmxEqDSlYvOe0W/rRMCG217BjKrz16PcPasy4+2xJSeNohuznRoXo3
IigwZ7gVNksNP+eiU3pMvGa+FUHvmKR813RoNnJlOnAEfE2JJXyfM2MrQ9rzrUwgdwNCo7X1JtZa
YgbV6SY3zezs9Aoy32W6qK32izwbekKf3xeUU7yQa66mLTMbWf/7Tw0dGmtlwX/rzmioXzWnzf2l
GrKzKdXAVlrxgs6ZnBuotYoJhDHOkD1q2YlfZXGh5XA4jNpTJy3uuKgno7SfNL0QmxbXyKbvZayP
BkqQKMaVA5UMsnypEyTIpu6DGa19ogWpR1iI5LwsiPWrb6M8njxFtAyYx751OcDiK4GnmS/vDVZw
h86UNygl2YC5em+qM7UzpHmtU3yzbIkDQkPhNqP5lNjmHpHnNwZMKWNklgEng/A43YUOLPqh8Wq4
AWAaeUKgZM7qrTEMpzQRt3Vs3OSWszXn7skGUwYSGCOTWffUgjWajB5Xpb1aUzVsWTINBl8xpVeJ
Z8KrHO1Z0aQnRQwoFTsilAQqg2GRJleaSnRCzVYGmUIqJcwSFA1i8PW0kz3bHi+sJuEnGYg1AsgB
GfhOWxOm7Qkn5fyqjfJ7zdG9sMwAS9Up7Qs/HdLLUkxHqzA3IwpuYcWYXgqL8Xh8nVZSup/tJShx
QplZ6OcVBU1pRpxLeBkHybke6+4HiRtABWbZA5WPcBb4q9kKEAZkPijm0Wy1LTMy7tIqqdajxRvX
CjXtxVFS4Ocq42OJaDmS4itD6MBry42aShc5u7gYQY4oqMmqdoPttnD2OlhYhV0zC8dNx/ZeNADh
e6lO/CyVtsloXyzMZy2HePJRidY8WhbdBVZ6AvDGGO0rGHQ7NAUX0VgfESFQ9XaZdJlVa6BVZh30
aLyoPrx6JcoGrUIMOMrJTlTjSWo5JWQAo7U8KMET4fm6Mo3Agg882mcyCkxE6/outIbHSpZcEJEn
02iaYAr1YyLGFtpvSCClOlhei0UAYUVYbMdh8Svqhh1+ntafTWvXDFQhFjELSDiGAEKw8sXW9sWb
+rm3qwpnTpwq7c8m+/7QntDpeNOwZs1fps1J4cTy+610bbF/3il+WhnW/uPPK4MqRMHpgpWhLL8r
1rdhggh0LKKnUf9qaLHuOZ+vBKtMx1sBawTf/K9XGlvk0ok8TOdFmTHnxVO7UijvjDYq96KUeOam
4aKqMMaXiqycaDsZrpmUEocJbObIxbkzivQDztj1VGi2O2j9AwGel6Vs3SLTdzn1eF2rrhy8iVyT
aJN38UuR6I+SyKqbqIfsZwjRbXOjvzAS2aWwCGZFHhEWhVuyPKxHYhBvqwUlg2Yceq3bE9Z6sUTz
3qicS1AVFw3btiWlF6la8DJJriRsb6qUx7xqgjgL92Ol4NEjHroz8tdFng0vG6PnGgvloxqtWSNI
xL/4VX/tt/yfBvynH3Xt5P+0sKemXsRNaE9ne3oRy9tsf6Gt+Orvf9o4ZAkumRml8zm2b6vEcWvt
/vfP39/qoVVQ/tcXMD89fwSFpXKqRvPZUK9iHR5BF8iwl35/kfVX+PujB/WGkhR3j/np0ZusdoSk
zLdwVE/t3rsxpya5jyfri7uh/vqMf7S/sDsglab5RWn6MV796XbMSVyM0VKpZ8qYdzY1/y7bhL4U
DG7sPbqF+7g3veH4dgN35GEKXrNgfuONbnfa/vdfWF37bJ+/8U+v9ccH/emDOEPsVKsr5gwKxpc9
OZhu+21+LTZOsIayb5Qtv/MGNpgLEi4gXGYI9HPx/vtPYfzTp/jp5hqf5ntkjWS22vC7P017NbBc
kKFXlnvZ6phPto+Gd0TbuHXOYjPtiltjdwfBeDvtWPfcZYvmufVpnfmOLx37XbFtL9GwIUryH4DO
nMlH2hp7Z19ejLvmPt/c/v6ja189+J8qaElt46xC13oGoOAi+vtebao7xa+9xA994cdBsckP5fbq
/Rj0e0DAk5ccEtc5JOfIY/PBveJ+C72H33+qj6zKz7f1px/0czZ6HJeM5kw+ldg7rvCWXb4N7wrZ
TT3iYeARuo0HMGJrn+ud+kIjLfj99f/5Zf3rPfq02rDUSHNbzdNZXsrAGseLBe340MvlF5vSuqr8
/Wv+dZ1Pqw7oO20YlgzHVES+8fguT7vRfMPdXstEMFWb33+rf77V/77a58OkBN5fM+qkPzPo4eR3
U0XX/38X+HTm0yYbXzmQ1XNqXKgJfUDH8n9/hS9ujLW+iD+97lJe2YU186KV1bnN002lPi2oyH9/
ka9+p0+raKtkLWrCpDtP610hl8aZEu/3l/jqe3x6wPpyafuiJWx9HCYvNs85CljG0L+/yBdPl/Vp
VTLDSJppzrEbTCZIqCJIs+5S03rPmlv0aep5QITy+0v+4/cCuGdBvdBkpHC/3h8m+RqZe11/1uGP
JwTsYSUzt7+/xj/enp+u8emlySKAv7XQp7OR6PTvr/P8i67CVxf4tCQuaT5pSVkPZ5lFm2Z0qmVf
/Eyf5Ed/ljP/fhX/NlSOGfqEGc8xZwOcikCPd8QmuQu5r54Iosvezb8IL1pdSr9da9Zv/dOrgyhX
Q70u2KOeaAwXrKqniGu746tyXPaDe7V4Ff/BNQIiC1z7WnJvumDd1a+e6yvtwKlduEkAa2NXeGL7
1cf7x40cVfu/S5fPT07cjLIS8tIpl+tGLrkMnfV9oXhuutX9x8I9yO588UN+43DW3M8Xozt+sXqp
6/L0u9X4030fpBY9izNTS/iDv/irYcV0nYvMv3HO5lHb9v6zugndgo7tBhTt9muJ2FcfwfqkeJGm
XtKLserO0kXpEvWwuMk3Y6P41kX/fdrh5z1aW9hyP6JnzZu26WXkJ99//3Z9HLx+8ytYn56TFGqv
TrgQeYAb8sdcxY3Xqm6fenfDftrvCbBwlzO87keZfOJ8U22tK2ARfh+I/eiKl+yLlfLjYPa3z/PX
6/5Z9WxLRGpwVO7PdaBvzS26+WmzbJZjfKG47xg+Nqln76sdTb3j5Fn3AYx+blG3TTe3sb8WCf9X
HPxPzLMWz/95dH+Vvb5/b/6u5Fn/1Z8ze3BMMiRsA3rMiqRb9Tr/ntmvpG4d9KJJXUefkeXpTymP
8wfHFQ0XDHNu5uArUO/PmT3+SjAFjOuZ5yDToM/+X0h5CLn85Q3n2LKeWVhaLQf806pn/XUNHOZx
0Ds0HQyDiaojw+ixHOYbqxzIpXKiy1ypk3ciDAo3nrU7rSO9ZNCk8Na2xh/E9GxUZGTuotEfjOw6
kIvMxq4YZQEn07cmwmI1ZYzfhr64QYYTbWWnDGmtwPDOM6LwKuut1+Jbc1geRd6Znpp12Moq3SNk
L9+lVkX4U5vzFyHeak6xWTL1lmv5Y4esCHM5vax+5uBtg4JCUHPqUudeNxmZ47j7lrT2SW/Ca1mf
LkXU7kprJRjj7lERCG106kw30YerSbXKYFX9u5Y6QS5gchdGKsPy2tNqEiZxxkL6BaqvYBfdOB2J
gym4maCfKy3Q0nBrph8909wBz6vfMa50B9JweuCizBtkt26QU8f5vF8Uwj+6QtjICJYHw/mWA+1u
1OnUtvnBGrqnXibIq0owJuoaYoN+Jg3eHOhvG9P8nQiA/aBYgPkkLI6yeIgUpgiOLXmAjWpXb4DC
xcsuUS1smxa8AYinZfNQSsZb388XVplupZQ5O/bBulX2fZhek3/KLN8wb2x+oRBskiuVzWbMsnOj
OzdmLL+l0wKrUHYU5FCMjB1rvM9V/TmxnbNaWRCshwIfd6+gGp+sCyWx76RMKwDoyA/xkGTQDBOY
2eF9NTXnqpcuoiblaJdl33VJvEyDdFdp/XES0w0Y4w1gvKdeSt4zB9WkQRvUayp4ecsKYGKs9sOa
51u5h2dY686J23QcafjXtFVD/QfxLEGo8nVWqVllwYVgpHxbCoxsiQ3mObIIhmCW0BTli1aYz1re
Anmep1e9H3m+lBqxY1Sk7kD8pDJk3+BnPzqNBsZaxeGWmYfenHel2X0j0QiFstDW3tU2imNaVGF9
RSupw3s3TL7lOOSzSHPiS4IqfNbsVYVFUGXHj7QUsA8NgfFVJ/yxM6sAEz+mt7xxAtxJ1SHE5HNW
+/Jhap+zeq/xzj3TymI4U4NYjFJYjp1+X9azuJ7HxtmHKQOK0monsDbYROV+1L2+VqhJVvpfLFU/
jGTsHFjddVdchyJM5qDLCfC5H6AEpGjLCK/BDocd/7YINRI8pEh7iPUElLrS3yJHZwgwE09Z6AB9
xsHP7CRBUu9s52psfQnIC2HPTXaIK91ayRpKUI3aczkYhEEvvG6Z4JEuxs7k+E74GvF/IApIErOd
6dauJoL5hLicxPINlzIh1JHtEx26kcceKcmKWCMrLyhAr/oYI8mysc6TDhGygpkLOCo2io2wyeXp
bLExO5p2NlZowL7ZVF5lcb8BEt55AJsuyqplDDp0B10U0TlLp/tUN2/5dZUt+MZzmzRXU93fOymC
IeYbXhSOb62pP5Sl9pTLFnAF/HNJpqHPq1HLoLp9gCvB/rrkwrM15TyGA1El5ODhj8yO8khiIbYl
b1qls3VnPFcSoXJqjcZZS3/MS31fJdZDVcenrNHfINOTf5RblyaJy2ZfygzZhQY+C8UP/ivJk0Pl
TZ6SG2aYR24eKSPJgugmte7zAfXNkkF+p4UughrRhLlIus9EiDophV/S8TLNvHrWwvcU6h44CbWL
6G6SnlVAVQ5gxC7CvjviqMdlhr2NsAETqMaQO+T65oQmWDZBSUhGgjDtvkti6TalUzNP6J3YrSqw
KqFDmyvrSS0slANMsVdpzsmZXu6lWQPDMc2kftXJ7VxNk9eM465qiSEkQGQdnNXvY8l8T2rkyivz
4j62TSJ2q/d4sToPH25+NxUItgr1Hstx7oUVdyOzws3cw5Ujy5hlY9yDwwGDava7KmF3qLp3R2Wk
2eYZz1qb90ieMsRXDdY+ZR7gxUUEAJtOi5+za50XNW87619zt/9VRDL9hf9cEXmv2SsC59f270XR
+g9/Loqw6yEf1jUQjata8d9FEZmkaPuQESimvPoD/iqK7D8MuJWUUNDN1/QT/tOfRZH1Bzs0Gkag
6ESTkmf6XxVFnw6GFEU2ldrKH/7gXjif20JFZA9DNtjIMXhWdlUUbkUERbvRxoveGsjr6dX2OPXs
DZq8aFtn6q+YNiwACvK3hi3Db6HEZbMwAkdDnBKNpkatIWqvF6hLEmlUfdHZTJMIKPIlTPdXAAUf
hYEObWg0zjHycmGH2rEx9J1dOhieJVzzcwW9Iio95DanpZkBYJfpsGOWeIjyBJWXbhyWNRQ00q2T
qer3kVERRB3b185opX7RxNed3LxSBBYMOKOHITeYxcWCpuVkDV46LCezsB6nMG09RdOenKx8NJnL
OCkBExZp1UZ+6mzcaM0o7osG3Iuk5LsiZLaJkrgoko0SSc8q490I2lMn1wxtmurIbvyk2uRyCBLt
hDFtB1B2ZMPpr11mc7qegO5KhP0hKxOsFVnmaw0bw0wmMwCBog8GajZUfORRjBM44kjblYKSbBr7
87hiqKJlVLZG2m0SwsKmFJ0T8ZMYXtXlSgvNd7Wr7tJ+3oy2krtahHFWNzezyMEbExgRWu2V2Vv3
og4ZTOnzk7mmo8ajUfnIOBBxFTFJSvHc+gUo3q4hbG8qrI0issOkZN/FsuZpdEyqRUNHHe6zZ5bO
Jb0yFWGqtZvs6LY+62Jv9ijqGIKac5J44KM2sTVAUa/jIO4WckM0XClNbz8J0wRcX68IkDLewswv
3DQv34ktL/2kg1yu1gq6FtLT5YjOwwx/cUhckERvTaN9Rw/yneU02kW1fo7MaE86K3ni8pAHyZzp
D5rBoiljUGKEGXtlUR+Il9lnhnIyUMM2dkTMYxY3QD9ha6qROW/tD8Z6YfRdMA7SdVyN3wD7jQ3R
WYyj5abeLjWqOqurkWTW5EXp1c4xS0G6F/JEhAckG+r2TpUiFFLN9Jo6+l0sl/7Q5oHMaBx6PQAH
xXkstQF1ed0Nt7Wu1EHsRNO/AKJzKCBeLL0SdBnqEM3Ibhwif2BaskXGYl84JnEnrUL8OrUgglPe
CyvrAzuplI22SvJM3vQNhWlGNsbSX8wqpZAk3rVo1K+7ML8BCE2Va4JkYWNqYTxg/kYAE7Q6cFFq
9cuy5E1J8mlyNVERYmccRS7LxLvRbTMTfsDCfOk65dCW17Guo/Fs7CvbzsM9UW/nKczI+Ma/4Kjl
N73NKAjm5DXX84oJdZv60iSlPoGQiTsaNTLPGuHKSmPQZi9ZyOLVvg1YTBN0AmTCUfqBVOYxGPLw
Few30sm5PoVLqpCsK91Olb4rFAF5uxYPUpR+T3teGbXAp16tMhgHPCMNY9cBsL4GstzVRfjDgRHi
RRPPnZZZW70sokCfKDIk5IJAberiKKmTcVKK/I7arT5PA3nyNpLfwHKWEO3MQJ5tCJ4lapgGiHE4
wR0glc9CPpk58a1oeJoNPVL2TZYI1CDc8SmEfZPOy3UZVqarrCyuNh9ot83SjQZ9z5e5ElAKCAWA
U0avSFPwjyBOASJ0OphVCOq6OKQzf6vX6ms03xdZ2d7KoYzmOS5R+w2wOAw10JZlAnRTNk1yWU1K
85R+pC2ZH8lLLRlM0C3XNKaPZCYCIwu/XuOa7I/kpo+t8H81gUZn8j/XBCu4+lCC+Yj/Afq//tOf
qoKPNjmmIltXKDV/qgoU8shNTDJEklu6KdNg+bNVYv8BbIrNX8PYhzXgZ0CkRX+FDJKPP/bhovpv
OiUfg5S/um5rUYB8Cgc7TlmKFoqNXzslWNxZAfS5uZx5JDnbqL1CMlJR2AmruyguY908YRgiQMlo
tnQjDEKeOO4ukXyjhfpN2vTfAcrV7kQOE0K8C0EuE0KGIxJ+TyKvKSO3ySa/CawR4Tv69EaD4cis
AsUYWU9YxTZhZB1bMqDKWbo2yYSy5uLRIFTIJivKBvKOvcjFmLNPUaMJSQLMTLqUYYuHhrQpSZev
5zQ792QoDqRRsecDiTYnWKzL1mD3GuPo3kA1L/GNgqwZ3xySrUIn3XSN9kJU5XboukMRmpuOJKxB
r88hyVhOOW2cRfciUZFvxfJc1ifgw4+IQHYCsqEzz66UlpcJ+RwQRAKSE/yaJC4hD88ktV0J0Z+i
cfaGksQukrs0ErwatQKG8aNtHDXI14gvgRB4IfMLTr0bkwFGEudeah2fBIEbES1biUNpXoHyrxqC
EebWDaf4MiJVLLVGXyFlzGjz3TK3N7ndvRWkkEl2cca3dRxIJ4PUc8ibedfXbGOkl5GQeSb3IVhC
hzAW/cYSKKlt6DdksIBiyUbUWZZElADI3DB91Ur9xiErTcTI0QlJu+xJUSO911/ITGngobSkrCXO
tFdIXUOaDH2c1BlYgi7R3pyoOEWKNaptpePGNuFt5hrjls196Jcku1kfEW/1RCQBoW/RVIFLroRL
BvsbecvOCvBfU+LajySJ8CM9Dm+c2HcfC57+sfglulloW4AC8cZRyAcdpnZPzLS8Les+W1GFN2nZ
VYcCJJHX1jQZUKJrp8lYiHImG5VIhLiEqhWpPsaw5EZVVPx0MKdgRu+SQmnRjzlwemJl8YgaJnWt
6BG/VVYddLaceL2FoIhoTsNvzfk21gF8dg7T/FAz083SwxQpsXW4Y9Te200nB6kJNjzJ1OvYnit/
IXHCIHbWkdQ7SQ3fS1sjt16/XFRjozcp1M909FM0e3oWfo8X/WQn3aOE2S85NT3OAf7ffnU1YBIx
oyDOy2u1zB8AtpEkOgApDOHee5CNcQtU+lsUwUCTmwL0Rlv3PiC4c0wshmtNyTfMBZM76BxChwHy
Tqra36PKeSlm9d4wzO98fgH+TW69edYoYivsISInYcMoUOSR+MCYgC5ilTU+ubqXg8gPdj4+6NP8
o7fkQ+LYB70UKMGlPogj8QCKNABkWp/ncKw3RKtDke4l81Rm4W1RCRTETtoSgTYAttNxBOHafRrx
EPptTa5wuXa9prEBEBQVmySd9qGUbRMZpLSzDM9LSVZpht0hlq03MUxvkz40bjOR8g4vf6eZQJYs
IvoiBJyUnOrGrjLYmZq6DUv1qatj+nKIsurW2McRMs7ejJ/mSOOPS/p7HCJ3NXHyO333JkE8bVX8
h1MoQ3cMH7WImPQZBtKi9ggTiQHSetwFetf07tJUdwJguy8ngEImk/s+heGTlsk95P7Q4vnSNiQr
0wFxRl7ROJ1RP/BagukjiUMjKF5WOWGEkObwc7lxGjMUI1YqjheTzzYcKrKNppz8pBmEkJ1r+xEu
rOiGh0KWD91oL24mOdDX6OC5vTwdUyHfjlF3YRTiTpktGH2JyVEqIaFdJ/zdnKQjIfdUX3N63wid
phuIeT+zqqy/FSItNs3YRsKTylB3h5qCVwIUsde7eCOyQXcLGfuAvNCUgONH7FqblxvOlYc2na+r
vCVokRPRNdKP+F8zpP/VIgZdgf9ci9z12WvD+O+z93r9V3+WITisAQTIBKapqLkw4/xVhnxwqjWM
wHAeKELWvsGfZYj5h6WvfAEZVAcz21Vm/WdzwvgDCC5OBVoWzFfWbsd/UYdwFvw0seHCa4uDz4DN
03bkVXDw09SaNE25LvISUjVHRGwx/QvbO6KCFIiaPKwMrezRUDjfzWV4ihtiMQw4VF5TDFcYGfck
szNJNlSGB6iYWykmVCw5kRM8cmaLb2U5/TbIjIKkcmAVl0Z6bqN6Khdy2ULZjLy8rS6LSX4cF/NF
bfUnpyaoxoZPuQnX19SRlk2mS1JQj4IVi+XDovPmxlXyYNjFSzWX94OAKFF2LYYD03xo8BkXU/HY
OdJjWMwXwrRQZMSnIRVHaJovbQmEO3asq0YzmA1EdpDzxVzIcuZWVUum8OVzPmNn0RNt4c+u+O5s
3NnOeD+rqDOxjm90fel8dQWB6WOckZFhf6vhcfqIc45tl92NxcLIlLgEI7Vvytj5VrfOVczYhbWP
ZVxeD5XhOJ7taniS0+I97MrnsFYv27J4B6bieH3aREFPvtiuJeacbWEXY77Qk+gFWMMQVJmNIJ5B
EYOk8n1UnBN2984nGx7/DjmTeI1yZ0MmLj5ExTp2Ld5KPUSLm/kLVNPNXI4buRkPkePsItW4IRXg
B13671be3GlxtGVffsqjhXXT4kNykxy5AV45kp6iyrSGVHDg1yaSYuFMP4gbLX3gmtuS05LXN0nr
smo+6pFxo3ckqZBQd6dH6o9eNYf9HK//HCfWRtf6p1zqd20pcNMaJkGomPHoHCdbPAzPJa7/jVr1
Z1UYMguvlWG06AxX1iUiltKNbHF4BzuzrTuB0xX0kNtX3LW8U/G1GSabWKy59WJv6MC027CtLuIw
rw+r2QdfL8WVMS43Fm6KsSCEtdZrT19CZmkpi7ncTegzlpbzf88TZ1ij5NkLD/Hccg9ztYqCsVlu
y6jhqoW9icJhE8r97WJrh3hMNUZ/WeG29ID8KKNlP/Tpe1dOTzb0AdcyqzdZIXC7KEN6X3QBRjne
YdAn60ESO5mhji9ZaeHJ0BDNWd4qMlyBVpacHSG9s6sN9nf6c0d7AkpZtUkVMCPcm9E8M70ciiDK
J0Y6xoEgAw6qHRMdkzjZtnfI8mwU8vaWarnKJ1O90IsUrwpnoGifqY7Q/DQdH1UbG1/QSK2IH/gZ
wu5S7YDFBWZsaBszzOXizqJHSNp7Vy2EkMMgxOth59aVFIrYvAKQKK60eoqe8YoFbcYj5OrQAM8V
tr2kM0nYHSdXJmNUWA4czlqWvMgxpms5kxhY1bEWcJTQ8OmQTOVPttnWewqa0HTrGHKuZ8taRhd+
1jzSBK/L0pzqrZxo6lM6yjIDECzGrDOZUPzJtN7liAwTgpvnBqHHGJbOOnXQDRpCsWpFd3JnZe2z
Gg4RSkxtIVC3lnMzfEmNWOgnmXATiZ7D1Ff/2y6VDzaBirLgP2+X59fq9e+b5fpv/twswUfDFEHE
bYHB0p1VvfPvTr76BxQuWrsczFcY2y9ndtskxhQcAeEOoNp+6uTbfyBuWEEFGjSBD1HEf7FZci7/
tFkibwDHpGNHJBPVJMDq182yqdtcNwZ1uaxWIYGidkilHGjulTHfK0m9Ddfoccajflj1b3IfvsRr
cqg86RetEWY+tSapt7UvG/PJWIAjGqBikal17AnxpRlnmzm0rxgSECCs9CqbnrxNJ+c0agDP83Jr
R86uT9TLRC5012Yd9JqItlhnjniTyp6jtPJdMgti7Hjb00GPTpaZMqrkuODatRHMKktozVqNE2Uv
GyMeJNV+sCrtqlWzS8NhNtyzsQPQHLIH3ho8yaxms+FcY3K9jUYy0g1wrLMB0TnKSsyznU6HOEpO
y9JXkCm4zmwM20Vq1jo88iRT2eVSKm/+H3tn0hw5cibRvzI2d7QhsOMwh0nknkkm9yryAmOxSOwR
2LdfPw+sqVapW5JZ3/skmagkWUlkLP65P6cssF4jXcab1k/0FjW4JNQWZRujHAjE4ydZwy0IkpzG
4Cr/FrEXsPXSStE3u66qIUSyI+wolBm3rh5v1ZDtayk3Y9SSwCOEVFu5OBiTOpl6nhyFxvonJz/w
ljlgmLnnIVMq8AfnvhIJej03w0CTSOaUd1kQZBxSsx1xkdl3VnZj5wfPxZGWmYxgZAvGIXxpIu8h
1aCZJpq5t6bwHTQUU0cgn8ArWJCYjIMak0S3LBAyMbHQKiv0B/p80AFG+4D0Pq6tqLwTIt/DmHaD
mLlCEM2k0BRlGQdn6Alt6zT8kY7YJpIm6TlOpk0V0lpoR9lbLSQ41Ir+LPJzxp1fIc/MdraJbS/Z
EaiM11oryI8NGATQbYwCGHUoEZM0m4sX6ZRB87JD6dnrcbFz9JZlrhzDTXetsvNqX5OewYgzeNpR
OPH3SFPlxgsz/wiThs6lvD5QA/HQ6M6yPxp7SyvbAJPNpok7e9N7cu31Up2kVy8GlA/FmJWtZjjp
Y/+1bCaXXTt56gyapxPTN4M+LL/2jadv3GY+d3I8F4VuBbWX3s6t13MLi3btYF9JNvAp1J7aQXC5
GxZDCmlLJ7IuLoYJbkpbO0nZaq0MSSFrdqlrnHMH+jpxsJe5DC+9nj1SA44fww4PkVHZO2TfIkgF
o5I6JXqdxPLV1zM6ZzXMRVG84bh8JXM2W7sH9edq35MweVTahIdUI2GRGvp3MymfKJ1baxEdhzU8
/Ne+tjea0J4xPwF0bikCoYkcvqqT3TqZ9dKWsHnJRLlzc5rsktySdcJew0xZ2ZdRKeOKfNsu16t8
U7rOycTcgMDMRMyI7/qIY3CWTC+G+5BpG2vyTmWC9NJz0GLHrQNZag9J7wom+PktOHotMFSNRYCZ
vNOFgdTmm5hquIBjwJouq3WRpBtNc/bzwqZvQ/rq9BquKuEK/BX+FZaTg0tYkNbaoLP4qxtQZ3t3
jHZZMb/4Tt9u26IOHG9f2XC6cy2NkLurczfMB79MvgEkpwJSiDVyhL8qk/S+ze1vfo3G0Y1oGrJy
nyKtlYEoQj7EZBIZg7QbEB5YHv05H3eNhGTxg+T59wVV5z7573fc/y1ev6v6z3vu8qrf91wshS6k
bBtOG4Voiznw9z1XfBKCHGqMdAwm7HY/76fYBqE9IZIzWnd+tC/9vJ969CjREMomzcwbS6H7V+6n
lJD/actlt6JjFcc73FfbWrbkX+6nqrTnzJ7C5qLn5gMVPfdGY58w0N5mI1cA7IbxMYLYXAhrj8qD
crvMdsJlytOOXbjSKzRyd8IChMx9R+HDHOATFCuyqQ4cGMEQexmT+XwvSX/ehvO6OPhRbaxKSNv1
MnWapfJo/BqvtIqJVCHTMhiWKZVGqeDaXSZXeW9ooFiG6lpnrOXSGnzl9rM8p8ZnjNao8ETRP20s
A7EGldVbZmROjOo21/IhloiQgHywdtXNoWKyFnrUAzSZYLBqFe8z07ea4zHwdHuvmMtpy4COAD67
LiO72Y6+4WJIVxVUnaBmrifrQyrOYpn1xa81BQl+tFeK28iwgMSqZThIxCOndHHM1sbclJuSGeIw
04E+tvV3KNdH0ZYDvkD+QeBRDg0TyIlWJGSljcZ6zXCSLezFZliplqmlP9nQUhhk1lF9kyyTTavH
qaZGcaHMaJl6dhuxbEFkIwlpR1FzcJcpKWyfO2OZm/oMUEcGqY30ulO4zFYTEYutscxbG7dn8urQ
816GCsP8MpcNs0HgzfLONNwepi5hh4SNlnqSiX3DaHyZ71Zm4QZew8TA8YtxA5oSEPoyEY5a3Qwo
8fvCHpeuFM0OlZ6ikbkPlj+/AlqUuwK2eUsnOOoaZDMDBjQotAWdVO7pGTQChwG1Kfi3zIysfZPq
0SwUUr8prVbeMz/hB9cNKq26zFb9lgA6OBi9dsMD/uor5G9KN+QxzsTXuuqv6thfqPlWuk4G8x0j
wnuPOXHbtCPD3cYL95wfvhV8RKnqNOIgSxC6geDdI7o0p8LTjxRTPJezf5orNHObEkg1aOdqgtjW
6HgD2oiOJpWFw6pumus2nfn49A9xFH6rYtfbS9MfUWaK+3AmTDIa3ZfKdA9ZhRzv2eoIIjTHMegU
W6/hNBHZCJN6fKTzkO7idL7new7nCoJfAP5JbdrIYUtKZuTpWjL/95c/3sj0WXdCZy1C60ujUnwp
c0e5byPlsTE6csma64IQSlCRmxyT3dior5FOq7GM4/omdWx/NZig9CDrQRwpnuhwoiKiJe7X04jS
GChXpVnKTZinDNrRafm0t7jTksU6kDqcD43uoM+efqg8Sv8EgBqH32VVOea0YlmkiqRobpq0RfKp
qPdqq32qORDZmVmnKXHgMtcEnzSLYyOSMJyJ2KUrjOImS6Cq8l80y75J0YlV0z+KMT3ZdXdUJskg
q77v3R4xuil2tGkDRyjCGUexuO7H7jFRuFew9twUVnebRcOTl+HgLeavTWhRRo+BdFWo9MnpjaM1
0mjQNA8tV6RV1ZHV0zEUrvwcWZmSZFev1baY8MAY9XgV1uZtJqd8A+dr4xrl0egg5kxN92HZ3Eoi
cYF6eK315U2VulXg9c23EBYaNTPz1zxuTIwDHkOYtHhpCtfAtYl23hrlg4qt09JVjkGPp6YN/Sl7
MrvU3jOuZCoEtdvYxGqkYJqp+efO9fcWLv7jFk7b93udvOZ/3sSX1/3cxBfCJ7A+vNM2kJYFvff7
Ji6oXOZS7SIif7rZeNXPXRxgH6w+fdlgEQIX8//vKjO3bfjDnguIhwsMwYK/sosTa//DLu6CHwUc
x43ZgNvj+3/IvLgxVbejVk1Xo1lipBGZ7rlXpWuW4YcOSM7WA2Z1LRuQyQhpxhuNFiUZvKYoT46V
3YVGPKw93GH7WrA6Mn0z3iK9aQLlh6+1yO6zMCtupoy7eDU7xtZc+tk5oTRXynE+4hLPaQYVaiVk
w6wE/CUXD5xJ3JxdzC/CPs9dUxw0Se07zms+OcEI2yJI06i+LhEdVsSgz6nTZiffSeS6KYdpW9tU
LLRc81Z5wTWz8EW9cnLhX1v9dERCOnuqDU8QvLJtpnEnY1QLtw9uPpUiHGm2o+/Ga3PpHa7MMQsE
AYV1NebJtvIAdqB0PueOuJTOKI9u3D1wK9PXYWGptUycEtFs0q7r1HkbJBpfRRxhp+z0Y07TF7qU
UCesXhQwTdzwXFrp9FgXLbXWNIxEjakOXZy+t9FsPBus5rczgt62d3IKQGgoSlbTMs+LfMlgXsOE
7Qy6drTKUT/bQO52SWzYq6junHPturceHqn7QuSMvqYHrWQ5U5a0drqnbl0HP40f1hgEdctZsy7Q
JpJx+LJ0tu9xyrSziOF0uVMd28A/ogNFHmZ2asNJtLuo+MTAznXt1JeYv11vZFlyNQGCsVdaJBAL
g5TvxC3f19pLSS0Pw0XD1exD2U7LeLfLE7bdjJrhXvqXpJ84CqrZoyWbpdsMLz6F2UzaMQf0ws/O
hvLXoEvme4aXlAf/vXrpfJzJq3y+ET+I0H+qjfuBIw3qbv7z+rW88uf6ZSyOHIJIGHGBjn72sv5+
CTFIL9Gqzg8DOfyp7v1cv9zf0AM/s562DT7419445zcPjw2EdgGk+zPy9BeEP6hAf1i/cOuwbhG7
Yh3DmvNH4Y8hFzQcz1tmVTg4udjXHClyg2yA/JLUJpGStF4OIjUeT4YVHBXaQ2WLj17pRCqKYjgO
eWuuihiaWat3+wgPHUEq+Iw1e7iSAHU6ck6pm34bwpp29h7rTC9xrVHwKjduYXvIeJN/Ay300a6p
WKoGji52Np8Jaz9iNMDzn3wJU/OhoBXhwhGHecJIbXm3FJjTyJUcixyInYXmllHP5mVEJJgNv9Mm
320jQxseZOXvudCd0nKctvrIUb8Z7yoxoFBQrZBr1XWPqBNZ1c7WG4JbNqqNW98TQGHWP6mrxnbJ
bbXmLtP9mNRT8zZh4lipKOo37jzRRZuEhFyqe8uftuQdbBDP9aqp6+TQ5+6LEDgzh3EgNF3R3D0v
VVOQALux2FP2g54PSWid12Ac7PkujOhbsjXBW9Ml/SlPKFgv7OgaBeLoeyQV0pzS1lb7nqY58/cK
DGiEA3aYhwTHIxkyrc/AG8bkf7qZSrDcu8HMizeqFXD8mNm0rXmH6eRONd8pNvlw+Xbd9JkqIdYS
i+Y17qQVNPRogNJsOSkSTTCXej52ppXK4ezgkKX4YmoWy/Udtlp1UxXiqhrTcaMDDYNLueSKeIZ3
QJgfLGhkSLb+mnLLxxLt8lj1KY4jjCVOFV7rTQlHKsy2YZKfGtVSxqvWba7v8kFu1cgFQtjJF99q
LMiLBi05TRFTZVVt58SlU2n6ik1la8n+xRqm8lCY/R29mTNWyeGdnzxuRjPn1lGJi1RUtlVighDr
mSuaSq/8TgvPvVl/E3UIeKMWBiYNLKqxVribyu18dGXJAVSfwRsSn8HNUF5HvUadWqSaW47yrN3u
hFLLG8QSbTved6/0hmNvmysvdLd1Oe5bkwyGTb+gGdbPvkVDOajSvZWV/AhEIww3+3ogVN/ZvMUe
DnqtiOdHs1RsJgZ2NLN0773KObVies/jKluLzL6jUy86OXO/mYueQSLmLT8lo+9gmodQ9j2dSx9n
k/t9dAmrmQz81nbvU5Ilmlvgm7zF9VXIQWXt1kN5VC6VQ6hr6LrWhnY6iyfc61bEUXgFDXHkdaJp
m4rwIy/DGyCSHSmXVseZ06G9dRZ2pzk/VYbUNzMEt33U4dUHe+qG8jikRrMGYfSc4tzFzN6259jS
QAAPtf2u62H2oHSunmQI8MqKPEa4+3t3+rE7ERP59/LYffzatK//Ymf6NVwi2H58DsPGcrx2l8qh
33cmk2kVkwC0s58mjf/fmSzxm6CwmQ2L7Ulf1LPfT9aUnaKycRJnKMWpB1beXzlZ2+af9DF8InwX
dkgb26rns6n+qo8Zyw8vc1oidNYtjNHYp4Q1PPWug4ReaZdyqZNpgDZnORfXekK3nSKkfVjtWPc8
KJXJFeaQByuTeSBFxXjH5FzbRKzcnrn38m7rtOGmGMV+GPhPxjmrAeo00Kvnxm4DBxzpyoST3IzV
a+zi/Wi7d8rkNgPORJotITCKkmXPenMsqsEmUl5mozCEJEW3T8t6X/v+qaGEVGHBmw206UVpEXZ/
dgz16A799WAA1ZxqK9nFs/Ga18SEdf0rlk9764ZhF5QAtHc1fMjAx526spzmiI2133pheWoNbe+b
tKHF6X3YYw4cTRNuYzneSkGjSuOV28Ep9H3BL3eimwcurTfwwZRc61nfLr6Zf0djKneTAdcwiRiH
aVP4UOeKj3k3rnU5UNbWpFeZNap1EhnZRvZ0m6Mx2oE7qomVz9tgzzjGdivXEd1BrV1rx6KS644j
cowuTq7BPwrQvivXbq/oa32o4m5HhPE2gVK76WZtWk3FgLHL+xAaoWINpWyMITlbnv+cpuIOlA7r
UgjmsCNVGEyO+TAXyXMmq/WQs54nXuZys0rOFFGd0kr/aJrZ2aczzdRG0k2buMGuL0LztmvjL3HK
7x8xusBrrObAIQTQOdzMSmlam6LBdpxm+GWpqY0Y8Sz5lqkVDqcPfo4+NkRtfO4AMv4aTsXdWDMh
U14JrdfsdlEEF6eS7bRqYXuuh5TXkTbk2F1k1g4TEtkIb3Eb8XdvmHqIsQIcXT6LLjm3aXKuEz85
cPT3AtthY7QMqJJ+MxlBoZkINW2JdUVdy9g/g2V0ObJgeYua5JoG2ucqrbhZ5dzWuqRej6SWnIFf
FDAfhK2831dCvzGMhlrMgay4CE911B0aWT52Wr9TjaRxUG0th7pHaqeaIGp6n9TfsFz5uJd5ev91
rpL3BnFQS8cdXbe0sssqX0lnwfDyr5rcG1UNbZD5/b2X5USajhWch/4q1JLtpPtgwOVF2PLG6GEs
2/NF6xxMyVO/I8durjoq7zoVzwi2KKoO5xse0ISAkBaHq4q5pZJ8UwB8ZQCOugC+2MHE0vuPOEPl
pYgVpHO5fFSz5tuI63CgrdRNxw4AcEXcvfPpZ5T2IRaQxOfQKmqyIGay8qQPVFwbOa6OJp2ONERu
fc2jZ700qPWL26MKsxRDqfW9s1tgp3H2nfDNV1Tmt9kdUpCSXE8jc7iZOoRzyiSwa7ZOCyrHIKJj
d9KoT1QatyfWHo5tXokpe6zQ5GXRHmxZpM7W7OBqPzLK87xdbNVi11lYeSE7Sm6R7ljPG69jwLzx
pGaNq6o3TG+PlR/9E5PXnFxrspi6e18vRHs/+LVmnrqxA/dlyzz+Ws+W0V+yttyriMNfSbJpoywK
xZPEjlaVjiJcR3dNaDJ3zcajZcluW2s1FmrNOdnumKwZrNDPnDtvlVINrYgO08bU+pppDhzrnjyV
0GfnaCoe5kzSosr/HdKKrV7K0HqN09pYtx6gfLjXHziZYWjHisyuHCg7xjnHXIEmARpPryYKbMfE
B/pTaleWrG+1sEP/VS99MnzMGrD5EZtpI0aa00ubflJzPMYwB3Uy6b5bviaZIoaPDNwadrwxkYw4
5UJXN9LrsPHPWjpRV2x8zELnu0T2R9YX+FiTtTYfjWkktGvXmzCq77KRpUdfQjPjesxPeexe6VnO
AGBUrzDrDrFp0uZO3WxQJTQX8TBeO+4CC7B9biIahdrsmOvBted1MnZX4A1PGIDCgHeh3LuyYp6r
9HZnWj1ru0Vyzk/cDQlFPkuh9tBmayYeX4y6ITYEYZxoAncqL/MHfjim3yV1bc5ggOeRnmyTGALY
zlFdirGka1oN55KA3crzsGFHwr3QD3vV5W4BfhFBQGKZKhrOZu2r4w/TBvXgfuLmwwmS21nos4HY
KaXFHWV23SC/qFwdUy3jd+zmr13l0wHRORbPwKxgHBga45j2vfH9RxborV7m56yI6XWNzD38o8eq
Z3CfuGPAjPfAfe6Gocmdb6tvCRsd7HX92tLbE/DnMICMEJICEUtSrj5EGhnGqR0ivHQYo+MsO/j2
BMgykkHqGdWusZMhSKyGzoHuhpPIVhotCU384lnF0bpjljB1FpE4veg3uvAqSiRCwDcRX3W5qqyd
DPS5RkerY8TeoeUNpe42v+gYzlae2x47yVWwcvwjtIBHOiL0DXUB2BA7Z6slc7TTBnHKydIF08DZ
mrKX/BQJ48YRzMe1Bh2mlXpxmI0cZS1kPDGZVRikLq00VnKDg/RJ0xU1ANLDY5GELHD2sJ8Lg4+E
7d0YNTRVT2DsdtT4RhztC9S1SyPdNxjKbyPxvLJxvqos+qqi0lm3mF3CovyqK29vIscPnnGCxhuY
BuZOPY+pdx1eoyLfda7x7iMX4T65nYWLLbzV76W1LOKaTZKijv/2gf3wgS1T2v9w7Fb5q1T/4tjN
q34VhOC+w6SBbP4jh/X7sdv4jUg2pDOLVpjFC/0PQZtMN5EtPlkmGo0rlmDXP8bSjLBdHa0Wvuun
Qv4XBCGM0X8UhHCCAcF2yYqRKnc/nWK/jKUtr0hrPkfThVFtfeOmnHUSUbpfVW4Zx2nIsmc0THfr
tb1+xZU7BHPXx1zS+/nJ9Yf2PtZVvgNqkZwcIDYbV2trMi9VvPEq/TpfjBi9KcKzbfv1rTm2vL5H
RF132GOgYnNj1jg0jsZc4fGkCgAIeUZSQpe7VOLx0Cf813XZjC8FU+ajquKZTg7yjlw/J069XsmB
enryjSqIc/N1Cgv32HEH2rZKG04yo1mdQTJzOTrtscXol8zsYGUmGfXzTpWt4sQm1bEMt32zxRCU
zsuamqbv5SSWGKws1pAtoiX99ByPUUj8qQ+SrDwyUfODMZXZwZh95sGWa9xEIsIGPR2Tzqy3Vilv
bQVJH5eYtmudaAYB0ZnHONbdDYPhk4A0fkhay1/rcWztslxam94wQoDsvbdiz8bsXDC8DlV/O9eY
g0pGiitMUPNKs+0N3ciKBdi/Tkkvg9bh3dE6Lb5LhpIK3kSIS0O7znpyh5J++OZICu2FUrIRkg9Z
HuTIdANW/hhH1dwGYc8fjKWuZnyPyS3E7ZZiUJ4W+9uID674NMQt1rh+McmNuOVIrxFc0SPmeouV
DvE+yPDWAdK5hXRkgi4edwbuO+OTtGItljyExgu+rxuFV0+PGpcjc3IocfGNi53PxdcXLgY/Z7H6
kQKJMGBxCHRlcWrwA9qLMbDBIdijPaJQYmPOFvsghquLi58Q7/+ux1+Y4jMs8RvGi/FwXiyIDGxv
pjDdzngTixnrsoNb0bfgBM2Lf5EjWImf0SNCveYmcaKfhq/geSyM+pu5mCB93JCjS08S7shqsUmO
II2ooGA40X56fKoMDSwwTKd7szxoBcyV6ngbqvHsD7LkU1Ek2Vngje7AF7HVlj5t5a6ox3PkGMnh
bw3kUwMRhEf+/WJ89fodwsafF+PlVT8XY4IqAMKQvvEAIYHYv2og+m9M9gjdm6yEFMbwpX+o86yR
vucxY2Sx/lynfy7GxFscgi9oKoCUeUL+EnUM5NYfF2MPwyQ0AtZinXHm8kv8qoFgfpwaoxXRhbK/
rTsVPF/N51y9vjbb/AuP6apkKSP9MB1drqU7WURXuer2uhDAo/oqGHy6KU1yLcrNTyNDxdXsp1cy
7nW6v7RbmUDQapXHfajIn4i9Zasw8bkAJuWb6Eo0fQ+oIYbXXvTPTl58iDTb2EaL2zGKXxw/X2v9
ED3hQtBBXGSnqBjCwA3tfs2vrag+SK4VxeCcSI1nTqOkxhNuMo1pNeuBzo0tG8BHPzTvZm47JN10
Z+MpblNFndyrLL4dI/k668MTLkV6E50IA6WdzMgO9tF2NHvdOYT4Sz9m6XfVN89O32gxumYBcoi6
8U/s6ibbNKW4AWuAch5dqXI+pXDadtQg6usmMW7slLJgaYJVSjBoDF47Bjlj451jEb3om+EtbFK6
ebipUxXj5ds5tiEn6elD3083SQeMw9SZrTZAAc5D4d83BU7EQuD4GeptmlvFWvPnU5z7x7gdT6WK
9cAFtb2y2v4QCdxZkcJ/RI2TWqnO1jhlNh4LjD4/NpmSe59+o02HFyugd8w8MmRNt342fuegTGlR
H4tAl3oEvSf1diYe100ZmWenEofKQgIiHhveThrVjSAj/O0U6Tq+CohFlBU4gexkfKscDeIEZMjE
3aq0epn0ct41kcnwt4yLbRZRqF2W1taVdXWwwn6iPSLEelPN8COku8qj4o3bHeTPRWzONavY5HK5
QBXhS+4OGGso52aHnNZ8U6IcXkItF5ZhHfk6CUW7WcrIj4ZR3XFQj9euAR0sHW0eyM61GQ9Y5r7G
NhkgK7/R1mWuSiIfbHtWDrhJEilCHaLT3oC7OXlXbsH+6Y3Oe132igCJuIaqJQOz5VG2rXRcRz1m
9DKavEBozr2MzZfezSiMAHTG8cHN920zcsOMhnvksOYQxtMbaTXklIKkRhZJb60TRllXBK04lHAp
t3JrrxX2s58a3/RM7VxtBGM/NldaoZW8zx7QuUGu57j6NvnWxB+fEqq1bHznlsNMax0XqoNNTtJO
k81Y02RpDu8YZ76MEZ95g12dKiUs3BMO8Qmw4I07FM9sIpC/PdLRYQMKsLKnpzFy0CzDgb6GhAvk
ADWKVoopyDL1hQL7YTfkJg4ihfmgJgok4sg5YdKqVhiHkDJt+TCr8FI75bkbmRV0Sn4kbXVvmKBD
DO/EIQ0HM5i6Od4ZWXGMNbqxUokXbkoj4t4dFSe1dacrp18Lvu+2GmmQNumWwCJxUG5kwPvmF8ex
1wzWSdf0D4djJAHOZWmyNiospiNu5FdDJ0n2GYmqxnYAp9g7Rzrutt4YjWiiqdu2XyTZWAKgcQlL
KNZqdW8OXfOkxnF4HkODmjZHb/p6byae/RJlyj4SosujmzzKI+58lWa9hOyz4VVqJ9mu8LN23fnh
FxFb1IqMBo9GuFyKeV72lqITgbhwHgw8dxsbNBdJAv25szpa94BziNDZx8681IfAnuNSLlcce2+9
eb6MssPxRW0gtLjiJqcj4LHD0LIpyoTlCZlo00XpR1S7t7Wjq7022NspaZiGYGEMXEZ0pt9+L6b+
qbLVvOVTvPPC+mn2IR2i3tz4VnLqMhoUylJ/FUvtoqIMNh2KOzGIPGjbsNlXuZbwrIWXKdMN5Kks
w2CQjtCBBpEdpDKoaTPlKxhLdBMDIQ5y+jnJ0m+GN7AakHd2ja2EqLSaPYrcLIvPYY50Q8XDA6lf
ggbYUnHTYbmcd0nHrb/3LhETu20/pR+OGZNLaw+hZIbo5slGFBYNPh69L3lfkSYrhvtiphA2Dln9
6qKIttKkDW/CyY4fPdmQLfvM/O3MXhdBMVAvSePrXZLaPgNT9xyW1Y1qdCafAwIgkEcEZgOMkCjW
dqRtKS9pAt+VJD7UjQLJopEbCJTufEm9/i0F37Yb0HmGcqQzb2xPYTl/sSu6KcrkgoxVUITgHMsQ
hxgK3zahAqpsvBedWDo8KxwWjsaUrivEWZoJih/pZIxpXIXce9dHTxeG9e7AJdgOM4ut6bWntGAs
W7iZw/9x3GL/OFqtR9Vfgg8zqd2D75Cc5vKIP45iMi25z8MCYAhNcBX/Wzude6U9ZQv0UociWneq
Zbnpt4WI3lMijzZuTKXx1bD0Pto+/V424lQY8e7v8+SP8yR34f90nqz/FZllyWv9PE6S8jItkB1c
oO3/j3L9frdnpMblHc4rqWTj8wL/8zgJmcUgJM2kTfdt7t0cAn8eJ+G1CYu8GL4MZylD+2uRaMFw
7hdMNbaRpdwW0xuc3SUbbf0h5QVlCiOIBqmJBtanyuS8k0+TXIqlaIKdMcJWzk7wENmTFlCE+VSo
JdXbMQAqfOch9awrU7WHIk03Ve+Fzdp1C+lvkngoH3PlCyZd+m2k4dJuWQh9bNip9s2gpBHNW5h9
fKIQqBgpOdW51DHU29PKmWyKLu1udcktlV65+yFzZlyb08W3c0Rwaa7LmEFGNaqHadKecJU+mhyJ
VrrBmkzW9+Bo0yVOvKNwzfUUN2/1bOIekcMqSvW7MjVQCbUno2/A6JIiozwlu+pL3CxdKD+mGrdt
TLkSntRoTSrS5Gw7XrACvFY5hwUb7swaz9h3yhxn7C30afqjt4n0dgg4yYktvDE3JIdmTYdhVFpA
39NJADcxwTV0Ij7NnRsQYHKDvohLFoT+VPfll1j3nzXLVSsvx8wKKJcynKcsmWcsBvNjW9MZ2Yny
WoQDe4X6MHSxpsP2zu+WE6lZnMuoOIhiesqa7kT8/EOvOZLq2kTnlWliyE1AV2pa1gKqyvZVo5Uo
706gTYpRvaF3gV3G3sWYyimYpyoLgG5RFIlxv/VxoKsUzGShT9qG1i9IJbT3BFjM3+hBPUpTTDuS
NRjcRxFIz2DFMvcMcC5hjhnO1JPpCkNkVTIccrpi19q02a3svDggpgTc3q/akTmVqRhHxrLfWnr4
LYPJkeWjtrKYOqZyfI0cimyXoZDKfYkDATJF3ANGNbVXvY7SgH4p1lYibKLx3zFGelceb+zG05tu
a3Sxc84HE8ClXAw8oXVttIU6CSNa6CR+up7rbg/IYw4aJ7fYhlziPIVAEk5aeHGVc90lHouqdUCN
edJte693xtPQM0ChJlBf054krs3SSM+lZHQYMV8np0YGN+xT5qUj6GLT0sLdJIR+XY4mdBYqzvYJ
qrOP0WEaomORNeFqrIxXXK32GkdmciGaOTDjtcjvFeTFGwwdU5LDKpXfpoY2sT5B8NVI97fZJor5
e6bgji4k6pkoFT9W9x82tpsfoKb/kl1xo7A0Nv/z3/9sCMNbRr7PBMSyxF+45C6pmV+vnKUJ3xq2
h7jkBfTX7zbTzOKHIPFXfoTPbdu08NgJnTLsf/4RUxmNDfMy68LErstupvJB+j+KGP72VC8Sxb/f
o567b/9C8Vhe8/sWRfKJdg1ch+wFAl/uL64P8ZtD3SbkMHSNf/Yj+nzFZ19zdXQNYlHseT+3KO83
H6FD+HxJ4KbGqvgX5GeQZH/aolz0bTY7Hj4ewj8+fnmLXXpUo35pU/WVgbsNN9zUTgY1yRzwRImG
Oqg9FjX/esyoeFY46IK2sY71EjgYJLPIxPIJ7NQYjiwv44A7OLueVEnujeVVPWtB2evAkb030UN5
NIoBwReK1Awf14eTm7glyEJgEV0DV1z6XD3dwXocoOtaZCofqigCMFWWb87gnVRXPtbCKgOL4DHx
zeotX3C9agH3cibdjwvKN4IiJG85Nu4gm1s3mumcQkb0m3bQQw61Gu1XYun5zCtUyfbV7aK3sOD8
bUxYqiK8vQdm1YsTWrsDBZrf+OxPq8KJ/RVdmxR3T667Dvk4keNkp5ThdIMHsebya35vEuc2tqtr
r03wmsXZ18QwH1rll2stNd7LzB434Rw9YiPeJKjPHTP3VTGLfVj53yGcSLoZ433mYyrR06VE9rmQ
0Smd/QeBhXBlz6Q4akN/+D/2zmM5jiTbtr9y7c2jzUN5RAzuJLVEIqGBSRhAgqG1jq9/y1ld3SyW
aKs77hqxjEYkMoS7n3P2Xrt0Ykjw3IQ2xDyb+pyy6eC+T11DVLzTvLgDXKmGLEIqVQb0lrh1U0vn
2B9dI3w0zPvJVj1ME4nj8H3Yz8qDkPmNO0fHfiqCvRk3d2gG6sVoC3xhddZQqFD/S7xjIIRWzpxQ
iWtah+TEMxBBem3aUJcUdbbGcOxePKOctikb1qKX8V5HEIpavP40KqzJ3uwEVw1MMhunDRG5B5Y1
Gd9SmruUaZKudhgb3k0a0vtmOEiDLAE9yZadbHKoDAcKzEuY1VAoUvcyaAVVOLxcgmsLwuOxIjc6
8JXauCkJoF525lzDmkUeqlNhowYi8xFEI+217k2W4VOSJB2iY7zfRkjTQBm0moCLm+Y4092GGUs0
UXMWHxlSwY6R0MHKtavult+skGTkcMRUPrpwIDEribY292jf96XMDmNrE11pXiY9uVgmziQvRVoh
ivhZDP6jnWnNjlQAkuE157FuA+KtdYP6yiAa18XRVFWKICnEXTa1BzFE2yqJ76IoWMsufR1E/cE4
p0Dpj/Zqavobt066Va1EJIXIz7bLxbUt7dCnJkEcgnyADn/NKofTh2L0C6Ync9W003NJDbrodXLE
Gk5xRTuTLk2Sc+LPgkGxgGM7fIRc67XEX7HMJbaqwihfzLw8exyjpFts4tBssCL4X1oxbJwaGo+W
DtWSbn3BPKIjGjqpwGqRXpBP9ldlxR4q5GOZG58qvzaWUZkxRzAMgnabNzeujhmwbT2Zn3Riyvn9
UEArfe/gge/LwZcZ3SqY+4EM3eTsVqo7MIu7xjPfptYrL4EV4vhDMnDQkknbFxmksbyPTn2CWLjT
PsMyuXNlTg0P6NQlz0C1nBx+yoxxYJfRF6l9+GqxqaX7LDOusTDyhWtaKBD0hrlP4SRLUrPoDrlp
D3vAuWD9plM6FOnKD1Nid4PxirMb47ItviCN+2ca1X/3WZva6c/32YeuSLss//z9dEH9u1/3WqYL
SmDJONcgUvG7VvJf5aD4B7JGhsAYlCXFH9vwv8tB5gqMeXVDKqqWwQHt173WYRvWlRYS6DecDrbh
v7HXyp+0/78c9VD/Sx0kCRu3mjf/eNTTe7vONDT8l9kOcX2iOO4LezECz5lZbjY9Neki9tOzVeL0
sU2Ls7C+jcr2EnbanuKOqAMDuSFYW1M/DE35nnTWK4GGyyRvz+OsnwLP2s0hYIVEK6Zl6ASvzZRe
0UUka5ll4Akk6WLhVC38FBTNDPjmmE0pq11Cg9zNWnQoZgh5tnBpsWS3bggZyitYXGdgALWXfDAD
2Ji+zoZXXMraBjHhxS/EByvRmLy4Nu+O0SERJKM3uiD2+yoLnLE26i5Yho5cRn2iU+26p7YlytrP
Hsxp/Jys+QzR8INsxodhosXF4GBbyO4obbUq9fJiF84hbVPsNqH9aGraai7atyGUG7qOPXhRjWws
z721vPqYZkA9h+QmHuJNSVwwQm+U+rHDzqXX2rPHxoF1p4ScEp/CeubNL6ejSUtynwOvwE8165sQ
n+9Gi723EWiW3XcnC4XlTVldRWFusiRaT45+IW1+05nj3aT3izGOEaNSxZp6CHpEe+kt/xkh6EZ2
rOVePzDkTrOPaOoeGbcyHp7ZnzF33kw9l65KqMdHf1w1icyeKmuP1t9tOTHRpDMrp78JBIzVgboX
KvawnLr+PpziNX+ONpFEP9lW+VPHr+EzKsfVS+yzNRRbO2Lvrl1izNFF0b+NMaCS0RILN8XU6rKG
TeZd5CJfG/yvVsVkJJLywSrknYYxcKm18uQRBQOwkKz1sGQgFNXhnQb+wo5b62QXKHDGKn5w/fyL
i7or97MrtpSvVIJPgQdrApshAGe+1K70deotDSwWI9lgiTp2Y1rKA+H4S2BxhANG3Wr2FPQ02QqL
hDXDTNd5NyKcQifq2mDPLQkIQzjlS1Fka09HAhXaXO0qbSISZVAp5CNRJmaD50VD5byYx4n8Sfg1
Zxwjj9WM9a/s3KUlYjbJCBNuNJISknV5t0jr4iiKMT2hHt10bvMSSefEsPKOfmu0dCIvW2r6PG9x
7Hec9+gXeFPOk2kab2Ve3bs9N94eAnA28w2sHlJaNH1l9jYAVveuG/zdYCJy0n1/74B4W9g89Av0
3ptxdtMlNBYLHUGCy3sAuxZX0E61eXoPzLlZ2o0WLFOu6KIlJqLttZVI5BrgI82NNIsu0AC3ADmz
9ZTcaegDQ4VzDOZ3dr/3tpcPwdg/JKkOMMO9ZZNNlsjqrOVg0AMwI+1pcrV80abOOqThH37v/EcV
6DcFSOtsKvicAQH3dTpYjb0uGEstEhdEt6FZn2rkkgrtPIqWw6yLoZ/xynsxR7upbO1lITOs2k5U
LhBuOYupLkhQqug/O0MBaKfVtz7iCTWy5/fpCV0amH4iQdG/GSlstMlOCVq14Hm6qXZXdeKzyXgk
LJlFGCicx7Kubpo0hDOuW5805C+ONmyaGEC/ZtBngHhnbKQeb5jr1SdfR+KQW9xtrvixyvnSKJr7
Zdfmr1aWFptCYw0OItcDoVpb2KiDnY9Cd1fo03slo2LrsTRaCbJfmKBL1CLnuQ0vjQpeocGIyCMy
74c4owdmYc5pBNNO66GcWSsL/V4P4M/jFkTdUjjvAZqPUoYHgy+3GiIGp7boHjU560s/jiqwEeg8
a5uHmrbFay/n17qt7sLGAp6favRZ9E7BhxPmmd196dJ5rxPur6kVK9esYfNgA1kEWf0R1ylLBRDb
0Luw0G2DKswWhtU8wG19Soz2ua4ULSLpnoEViJ1uDPpKCIMeGpGaq8gN7eUUorgtggqei27u6ya+
z6W5nUswzn6ivw4JAlEvjTc20Uh4JxNlXCKGrzaeenkdmsPsvwzR0QrNaw6tj17oE3SAx8jMuDXY
P2VeENeEbqNM9WYnYvmps9Cv9dG77SPJq01jZ6fZyDUdmD/r1Ik6ak1rVXjDifnSXe8ZEA1Sll/o
RvOk30MePoYFYYCwX58dlUogqvZQtTe9RChuM1EOnODWQo28on0abQ1SmpZ2HT3r07xN0zo+wbjR
N0Cnzt7kaMxUumSDrxZyh25SWJQud8vP1kMZHGzanPS0XPRQehF4FTJIE5jRWHwSdRGeh7xdWHC5
Mtt5jjmGbus2wuHVVvN0o4dMUMKG++xMqOcDl5AJ9NeY7JqD387eRcfLdxGzNu+YNlr7HnZ3Woeu
+45cedrOI0ZfjMjVms2D4TShFhlJCUaJXZXkBAlhM4HQgtyXzBmttghOckpWCBW5YDXaLiSDwbIa
hUQQn+YkPv0J7seEHnMKR1KftFVGjoOBDInwB15JUy9WyZh+GSPqUztgHCkokFrfZHkI5Es4Zj3t
tzZeD2iYOCajijLIIuo1GHswiAIudvmBRl23fDVy3mkaeaZMXy5miVY3Yp6zRPT7yOVnFye7ohzj
Q8/RelMCnK4buY3dBkOV6eQb+J6wE0FxrUhChgddDS95C+NoTO9ta1rJ1H7MPKr6KkZjNCf7gUiN
OkqRw+oZWuBxo7flg1NYX1hcb1ukQUuqTIbRzLhwL25Y4PTtYCntr96g/sfA7FCc5xJNmkfQh+PV
0yLxQ0DIXjKt6xHyC+t+umIgSbqWbDC3gEMuJWkNUWG8zw3VQzoMWyeKWZwJG+GQ+1ITPjI6qbMs
Mm2tE0tCRBJ1frzpB+OOSe6RN3fnGIrNQKBJCVUFsXt6HnS2WiJPIp/BGREodqm/DCoTxSYcpTHG
czFi/BsiT4PBAQbeI0oF/ih4JGqZOTrUVn0eg2BTDkayoulKn6Jkj9bkI23u8zyGC5FHHylhLVWi
p9z26YSrp9sh72vX+SjPGYPEpcxYCAl9EXYkVxUxMElhnAZiYTqVDxPYaK/kzLxvyDJSTsS8ClSe
jDagTe9VxgycdaA3lsHMIMMbXzaUXAi2do1Kp6lF/OEMnGFcgmucsjG3Xt0XW1Jkm1NWEVhTEXST
xo7LouQj2PO1rZcNMWdOv+XlslN3th5kqx1k5GRbGRZ7j9MWWrbSjFG79Dju/2t3+0V3q8NV+PNy
7BjlQfP7Wkz9ox9qMTWZ8yxaimr8xl/9UIuhsKAQwm+G5JV669dSTBKMwH8IYiWpCoZKQP+1FFOw
YnqkDpWd7VDjGX+nFHPon/52MOcpwS/zP4xz6McsNbj7QXSLQ0lBAdG7kGhi1o9AS9Msp0OR0SQL
NcCfbtwY0blxE/Ol/AUNCiRUYI1gdAg2tP6OEG2/40Sn72jRrKgZnTsIIDk5NTHSj8Y/DCagQky8
xZxciyx5LhELSD18GwejXdIVvpkkziort6M13lm2pyr8wBgjF4bIDYWvDwnJASfXdlsvj2k9GMm0
GszmPtT9l9IDt34EmzSjjwqzYHxKiBrBWtrNWyrNpCRsgZ8qlwV+4/xsaZPcTSQPRlbkK1bkQNAN
NgUfm9mHQaRLAEJ82crMX+plvmlGhP9FFu+qWNsRftcuxjr/EGYdb1MN8eRssZMH2hfjjMf4jM9l
NZpUDV4KS9JP/Qf8f9cMNb+H7Sier3orH4e+eUZ3tcZxQj/w+/P3376IIG3kz1/Edfo/q6IGzfb7
l1H9wx9eRrZa4GemRWqz4dJ4+NfLiMHUwhwOMoS3imDEf7+NaDUhgwNtMUh1NdWk4V9vo4o8g14K
5A2cAYXs38o1w+X68+vo8nMYxvMi0r3h5/72dawCf8SC34Nms4qnQbGZeiBNmgnx3omb+labFcEp
k8WLbdHwZlSN78OhmHWzmY631udouyd8fnNOGxY0FAFGDnRmlx0GccBmJj92kymWlF37NWLxrgCH
6fUUIjCnYuBTlAIS86kbHmTpPHoAqoIwzDdSWeQc4FU0dwIyGJ19G43PPkoWgPvlPdBBoGBa5O10
EXzJgWGNpjhqWXdTiJDWpOJliTrWcaSzI5fAtFJauZOiayFfP+IQe/Vb49DKsjmGjExEH6SboOLs
2w3s/xJcl6wTbdcqglc9gnoh1+RTFvKTnlW8ahTvqwH85Y3mS24U+aHsUnoGwMGMPrwyYiabNS6/
eHl2SWArEC3rLLWQnszTGE/BmkH3FoMirYJSvqcxcNUivWY+Es/Zzj4h0KxH5up6kZZb9vyvuNfv
gIUHO2Sr7iLr7WCdsFuv4kiT604bL1j6sG4GxlPku7gOfHB4hg4aVUcpn5eDXCDX36b9sDdl+5bR
fVpUZguWleyDebaGoyumJzeNB/d2bIbgVLbjjCrStWrvxBD229yFavrSx+sm7izOywqZoDiPWRQx
rolib1+qCFIzMR71KITkpSRiBk7eGbvt6yycRYmBzeseOpkGN61KNp1FRsgpzq9daRcIz8SdTqrW
wiRrZpETr7ZIRPSkYtdAZJKbairrgxk46pBXolco2pbJf3EbxFiLJCRRjm0PjgZDb4jh33XjThDS
anU5l3jKVn48Ppd29NVBVOBrMcMjrIqLoUZ+5Wjdu4UoEhKN+UoN+6aVbCV64GxRMRbMkuKdIYL7
yoH1MBImqxmIJBWWfMpZekmczUmelb5z1lUUrUsmbTbn34QKqe076hapgmvLhEFDT5atTqatjU2a
E/9dGranicxbsvzeWjJwQxWGWxHNWZGOK0jJHUnLnQYSNyvfeAoygnTD2n/wSdZtY65QaQTWBmwC
GaPk7+YGLUlneIS+TGYF1HIMfAySnEh80OO7G+r4JoAcb/iKXuj0l0G37kwV+JsxnKobfc/JYMkp
4RBgvejkcCxJCg6m9slVycG5fdNbNvqTeWfW2aIUTCSSZnqxOxydcYDwOYk8Y8kyh1ag0jjITwWJ
LiM5FX1Uv9QkGptef05MY09n4Ak9Ll43tjN1stzT0IyWPLBiUWrpXROZH6VJerKjcpRn6WKkZltP
VcYynH0VccJcBRD4Dt9ntIjLLN7nDr7wBrKcSmxWKy6rlF6sE+Kci45unFG1YtP10zUQSPx0Ue0E
l4A16WpO8hx33hdGtDxbjnw0JOIfC0OtqZKkIQ6Fq0ItcTXGXVx+9wax06nKnzaUC6KpigN2pnSX
YYXVVVp1AFJ3KXneujm414X14ahk68Bwz0kfQk8JNG0TN+kdMh78dyoRezKcDyNykrWu0rItUoAn
E7JHFhl0pd1pgwPwW93O/n1czdRMtf6Qq/ztTneiL2Wo3UiVzV00rBFR9IyE5FJ74Q7czLd5BCXZ
gtxahKVYJlmFwiVqbM1bMFPJnrNAc4LzbATU6BIRsaXbR9utHzyFiqsVNG6eizcaS966tHoTOu38
4vdA45y++eC0Xy3nrr61ovQmhEZnQqUbodPpClNH2+2QkleTBBbUlda+QqU7d57WLKSC3MXARlyo
d0KrCehVIDx78AkJmLsHE0YeLqhDCjMvVvC8BHQCv838ghj83FTTU2YP13KIb3keuAgQ+DJIfDT2
BVhKshx6HFSd03eL0Wvvc/h9OqprAc/PEuNjbngLH86fhPdXesyuXf4wKhSgk0qggDZ4QIoVYxEp
ZGAujJbkFwa5UbnD1bqrFV7QyRqWHdmyEil+j4IQQiIER1jG+1kBCrVk2OffkYUKXpgrjCH46wiY
C2jDQkEOEwHZf1Dgw2CMNo5CIf73VPZduajgGX9+KruljH//g/pI/atfj2SG+AcAaJMaiKGUJ9W5
64cjmeU54ECE4aJUVPrEfxZIID8s/goiiMP4R/8eRfdrgeT9A0cNrhr7F1nI36OBwO77+Uhm0YU3
FJQEJD4TTvX3P1RIFvFMuQk+7WKnQ5vskLgBfHWr5MyAioSL5krn69lHWcWalm6HwHvWVLRIBkPA
hrnt+QRKRgRa122J1Lmor7zaSLLEsfMR8mbj3hyb1dzt7Fh7BexEYgOZ2cFFjz1MI1gylmxYHhYt
JjRJI4eFnOavqYVHeeqw21m+++pYfrp22ZE31tCSHJXt6GsHK9Pub6OhNdf0eSP+XhznnoayYZpn
ACty0TnpU651xG/U4jMqm2/DbHwlRw3SZ5eEy9oY7zN3ZDMbrddh0p6x9csFuZMQBbDh9zNbnJym
owZLUKrUZjzsM3404sfRevKH5pvtczrpZ6SRvU7gIypAtNUUWj7oniysq8VcmF9E8mIjHGnkDFuV
BPKh3snYC1e+09aUeMNkERcrxmyBZQLedmlOAx1Ys/Xe9QhXyDoaa3BWeR+ikMyTHUpA1Ttmx2ut
sVwLhhQLTtzjGg9iuhHTlOxNAxodlBUmZlMwtFfmgAg+57S+9oUZb+kCVew8gMiNxgdoorC6YYXX
IMtp7GYVPugZmDHKkmFt1aT6wShI1q06k8FrzfC0+2iHnGG6mkCdF3EXi1VM/llYSPamlJMcgRnR
mbl4vBq8rsH52DvbsWbZz7EzNKsKPMpCC01/qyfdN8Mjea8KK0LSEg7/HFg+eoClGCc91fjE7q1X
IJWjRit21CefnsaxrUMDtM5LHtXas/bE/uB1sOP01jWBlelEazIYnSKmR3AFrdTk/No39tYNq0+o
NN6WVjNS/1pLb525CA5cOUKR/SF/dynKoVhEYucLBXvBTbHIEa4sTL1N6hVOHKBhtZZ/lFMeLAps
TovGVrFrrlYfB1gBx2Do6q0XqkOpcM1t2UrmW3TE8JPYROY41sKawm+6ZpnbBi0ozbg5M7exR6Ze
jTHuQ2BgJJAvAwqfMRShwc/ckO0QjsKg0/HzcyCzeZd+8M4FhxoJwm6YGQuvw9idBVQud4T0Dmf9
GwPSaQdBz7gWHD5XgO8aOImzqI8m+fW1GB8g1AY4rlKb7FZiFou0epo0L1iK2Vc+3aEA1U/Xsm9e
sfk/pwXsFJ9Yo3VIMbbus6JgxugoUlf8pOfFbVw10duE6mdhhEF4mjiq0Rpn35q7K5JJ5mEyVaG/
TrX3OvkZpv1bJ/zNELghJGDt2xC3qskZvZpafEit9GWEtbk1Gw3kS1arRcQ7cyn2HfjFgvdU61SS
ReY+CNe+rfTwUOIQWOR1ceMI6wsigOc+1UZMM+NtO9fu3q3rXTE3983sPVah9GmLQKyvunrdxxOZ
y340bU32xiViWcIysvxIpB4JA+FdgBAYZi+DWWg51dEG8cEkmAN9buzYcw+J419cczhrI9UsMCSX
NyUir4eHbYHelNTG3Is+gE3nbzJp411g9nScrc5krupZB2RNNucwUCCWnX14jc2aJbocMU51C5j5
XlK8bmNQlocg73iVYRSsk2lwVbJVu5wY4G7KkTXJL4bgmpEhumh4Xa6denlm4ftMjvjQtoThEWNC
3AoUY3cp9rGVazQ989G62zYxQB/NHr1taelMWWIOzLECDArfmbZjxxza56S8ouFqrb2ZNqus7W/N
FMyrxJr3JONeRI6ox4xPNgC+tTkIA98cozxTlP4msRRF1bHBzwFvWFmAiHcGZS+hh0TWhWT7+QTs
bA1zZKnnLLQLM95aYxgKFFoMIGQIvWYqWaVE5dO7B512teuejM+euJQOLBAhnPiFCUkeOOW2KMoy
UjBYprr/HnX+mcRDs+bPjzrnIm8/68/p9/0ng3/3w2HH0JXOlbQb1Ur6sRms/4OzDucPKUmw/R6T
++9usIecB+svvSeOM/9qPn1vBaN/9Tii/NJA/huqHA5OP590MPgonrHLYUxBHeib/XjSycrUKiY1
nMnMud+UtI9WhXBeHTqVhdM940l6TOYrfQfmhfraoK/ZtcGjrxqdk2p5lvQ+K3qg8kQB+sUcksdM
NUgZ4sXbiZ4pEL6WIThMWrqpIsixMnTFxgaCCNSHlitdmDciZMoPXbVjTdWYjVWLdqbkH6Ja7kDl
HPKBrSM2w+fMLk5AHV9nrWWu4dZMfKr3KU6u5G6911J/GXswVrIdzwzvCka4SbEqKxUnjbXERrv2
PAn3LcJydcxL3V/rAwpRUcaPSZe+CeL29vjy9z7b6oYA3t1cGW99k914NNYm6dx79TZhP6k8csdI
qnnswujVjTRg9sVzU2vBwTHKlddYyyzvb3RaSgjkb8YpurE6cjonpeaMwq8FmiYSTfFCyuHGA1aP
IsPYW1Rk9JnDqVgaxn1QnWtmgG3yijSzWvArbhVsbNGCOmQXgP6PxR+JoeE++pa/KOym2fXSy4kF
ZOP0tZPMimFXtAzF/KhbD0V8B8zlhPNvhr4VYrhJ011VpF9rDaBjazTlIqzFtmaUx97W3RK4w0ya
+bwgI3Yb5uZnG0UWach8Xopj1YZr5zn1BymZ0aoR8hS6M0Lk+J14UE+ZaU9DG13S0rvJSmslY85E
WDdPQ6AIGhR6NicizmqSnRY3aq5UWQiXxyXxPTqCLAtgqwOWOopImWGAy8MWsR20GUbE1nm3Sw14
Dx6KrjGWPl4Uhq7TdXAkSl0dWmhlfpmMmCy6Kr7L9Sxehdw5WkqPyLkXVZbWawEM8FRp+j51i3MZ
j29YhZ7CpvkoKxc/xEDi3iwlJmlOcsxcERokcbsn9KZY9VXyDPtMmRRJ8ovC7Oo3lgl0dNxBxio2
dUA/Z544tScFx86IrdNxv3E/jkxYLxZkhgTdiq2nYpkhSih7dMJTat7Hc/6WAjJp9YFgRwPlcZsf
GIGfREbsQdbRUBLl3u3dj7gJ9l4YYBpHICpddGNNdF92Ghh8uRe5EgBbnwC794kILprI3/ImfZQJ
zbZ0Hk6WyWGnK85dj2enTIg1ZoQ9+lDtIJ3l87ArvWKv19bGnqxdFZALYgn6r5N5LNPhODTiVoRW
uulmkqiC9mVw0KE01ryJaujRHZqJaXYOpETf2VF5TKIe/CidmynNOgK2jYsl6nNQOhcOql+aaKKL
HRj3TdE8B+yUkMrPXWitwmC6y0UqFgkvfZKGUIOi5yBxtnZQABmM3D0W4q3sAZxGTns2OUkwbjev
ZDvu0UdeM633icsAy9LVe3K1X8Q4pEtXpOnKM7q7IbRPXY3CZ3Y42uZz9tK15s7p6BESAGmMyPY7
Nz8Te/02u9520OjgeMMmjfrXHEdPY4tvcxOgx4hgfDT+SyR0G8/pDCHtzoiwQafukBLPW9isfaNp
HvCpz+tapkcvQE/nJXuGWvROwQiGYXix+vToBxPypyI4D0DjmLDnHz29lYVWpzea8LZV4d0QBIHQ
ZBg3WSV0uLf6E+lmp1G3ns1Ew78V38/qFsJf/igBbxdEpeD0OeqB9jyK/oLk8kYk2F+lg1d9Gt4N
dDcokIOI9wRkesu9qHV7k3cBgms3eyspGicvQ4sX1Uy6421CG3vVSP0J2NCh4pAUhvjcOVQhWNGX
hvXgBIgDovkjTp170M3BKberci8C/67M8rOmnHg+4UzWbL/ppdw6ho8IGXkggYYWWZCjsVPJ24YR
fCacnRZOXojj5EwnnYnoRteJdAGPuAXVgsYzDculMaIrkoHYNVn30gzRfZUDcu6CB79udqhZgsU4
uE85Uwe+80Mwpc8tCaP70bpF+b6KBSLmWIljsnFrW8VlaIOHSMCvdWW/09J5284uZacE7K7v6sDj
0ugXDQT/IqSL2XfGPTNHOEIo/FdujSqp1+mKmfLcpOz367Shk73uhip6srOoZfGHCm3kRE5nbtpv
wkpSWFIYRG7P2zkDW4TILxWUmsyRXT1OWyfIvVtXQaszha+eNRq+hkJaB31P6nWXfTAyQRaGfIId
xl6EWGdWpZHSdQ5IMGl3TDMi4HJY2Ire6w9xSkldadO3nIQcm7d4kdBAX5oKui1RBK7tNH2GsWNA
PgLN7YRuvtFDstIh8clsWWfBaUBEcslxzL/EuoMGEs2DhmpwsK8Nea0HRAiluRhSy4W7jf96XQ4z
XBtdOw1mfejL6JZkzI01xqRpzE9Z5d8FVX3sKoJvHVrrRup2a8YCL/5gx0sVmFnrTbPoE5wGFjpe
s20/+rhD+u++Wr557oeJTSZCyNhvWp9Ds9k8lEJMK9cJ31lZnxjZ7vwhvAh7/ITqfcQfj56ejHce
pILZGQPu2T46UXaGCG0upZOhv002Wpkd+o4tGv6wu5K1T1agjVysuCMFliolm/dlIE/2GO30Glp3
AgzaG+j9iIRigLGRjM2rN2T3LW7WviBUlOC6hxzK9BLw61FEw16gHkQ/sOQotDXGak8IyFZLwn3g
VEfgGwhoTdBv+qE22WlNd5O45Rc/niEvBdfR56RAAho8qHBdo5azq/Yzg9epkW1HBuF6HLtj56Vf
mP5TsHs5+ULRXQ0VFt7P0iPHYGFmkARGcd+o3O4WRt1yUnUZkPMZhSdRnitPOS87r9m0MemDnfHS
uxZqTH3cEFO/NB1t4miB/ylnHDmlyUtq4lTSgT0id1l7CbHsVEp7jYhhz/O3cKFvRW+QiNzqD9NA
mk1cPhe6FCszY4Cg9dFXvy5Iv4mHbt2G5s1gixs/MN9QWMp1RD6rBVkvBlzqRcLbBIF/JJLgs5zs
m7bUVUBL2oK65WEJisGGrEJgajiV+tqfpHspcMXkFo3f1CVAoRVXwpBPJK0rWIK5aRqykH07JAup
EfSVJvlqD/F077HSrHCLnkakQCttKJ5He76Wmnw1jNhHtlu9iJ7ji5DdJml6uL8N39r19Z2nlp7K
DRZ9wRggqBkE2WVyLpmZJPimLhq0zhJp5MqQzUicREZ0wkhW+gTP1uL/gNGv9L66D6Kx3NI92qPo
pPnXdqeZsnVR2tbLqPOixcIlh3f0mE5N1o2eRDcJ6ZJWbJHOE87NqfTplESj+QwaNDgMjFq8Jn0V
ETBa9bpLbNILjwbUJql789UNadaX1lUfxujkmWQR6uU+KMWDAWdiLmyGAwP0WVGsRJacqkDQ48db
FNjZNyTiKWu5sQ5M9yFpyTuC3pH0knPmoNpw7cukV3feCJUyL52bWA9uMidmhmNNR3ysT1XqvVqj
eeeyDh9tE754hzN3Y7TW65x5e69B949VON/mPT9Yq/RNoUc0Bpk672C40nHKS3bHwMqEeT/qsUEZ
Udca8qp0sgxypUyprQ098ulk/FDx/WcHq0VRp7IWoOTpyAjwJv+2gDIiIUbDyKNLXGJEzs8NPVvP
uv/rD1E22F/Ms/uv//v/VDSD+hCpw2wylftRVXE/9KMTf6xNrWkiELikq5wFLTLNemiHh7/+GCrR
33+MIwFRCdtCuvuTG9enZ0oVIDi4G9+G4lEzD3/75+NAwYSLF5fL9fO1aryJ6bvM0ks+8KDtXB97
6b+q7z+4F3/w+zuIO7lCXCib7vZvL1Pg5IRv2VV2YRSb2bf2P32+f2olVkqM392GH67PT/fakglR
ByylFyuDnL9M9E3trCzi3j+xp/z1V/mDj2LSIcE0WMQH2d5PtyJ1AzETJZdcRLzDnd4yloVrZTE8
WAL6+evPUr/2T1/rN7dFCVR+eLqEHmU9Dsf0UiJhQmxK3dWuWFOnfvPXH/RHX+rH+//Tl8odQs47
95cPQoacY6EIN+wjaisu/8Ozpn7pn7+Uh+8dpxHcNMNQIrgfvpRpIwlh480vjbnx0/d+XNv+l7/+
On/0uP3wET8/bnNDtmlgi/ySu++x/2pp/4fHWYEzSI9Cp2N/79388BXiKgUFDaX8grbDM4FfTf+H
xcvV4ZxhAeO1kYbx24uEF4DzvdTJ13PeB+emg7Ak2v+wdv3RTechdmzbUui7n31fXpihkXPn7FJz
8JuWEKp0+9pjQylXGJz++o78wWchyWJ0pzNB1Ok//fb7hL5Lky22c4KOOJOsIxym/5+981pu3Eq7
6KvMC8CFcA7CLTMlkqJyuEFJLQk5Zzz9v057xlb32J5y/be+GFfZPWyKFIDzhb3XntYQaAtqrJvv
b/WP5s7k8fDbQ/e/kohOH/3rO9fxR97SyKrT6d+DUl71ZeDJnpjrSkA7VIq7H7a7JmI3lHUo6lDA
8gT4z8CTFS7cQ5R6pgl9kJf/PvNEi6cjtmMb6yLfY7b6N0aeSF1/eDIoLo3D4cauGH8Qb/jzyNPv
IsRF7DWuovxsTQ4p2j6999h69+NssjicCBr1zPzgzumNO4m3idTCpYM3AjQIywOoWfrCaT2iLr0r
S+fZNWr2mxcmx7TzHua5ureG/LPrgk2l2ayBPec5LbMSP7WNNmeYt7qZHQqWnKQ39x6qPWpdHWB0
ymHASDB5sAN7xjtjE7PmVwwDAQMQ6vCUpCT+TvMbRjLGfOC5h6q7T6L2zLbvFFF1bnXPvc3YOhfY
zE7ENFwUQ48DSWsuDZemaYSBko0FnxnVGqk05KPtOzfcUHr4C26aTR5qjx1rMA8DlFQmdDdAPBjy
oHYcf+3njbGeSYDFqLOpXEUFx8RmCOMdN8kVMav2glSi6XYm1SLqURUZZbOcqxGXQGxFZJgLVEm5
Fq89TT5ncwKijVg1+HF6euEUkbeqBvzc2uhvsU+DIh/UpJN4A29i7zR4M+vG7taeCE2ca/mAVQCY
TBDVgjK9U6k4ncRLtxjZC833xjBQ6PVYMsMVvZGuAmnbvmYWi2ikXoRBKlZ+wQwSdviBbn+NjGqr
p+NuHnrUfE0QLOIg2I666JfO7GMZlca9cAgPwiX9UcYS81fjLfp2fpkFGxa74cIJ/e6+ZZsVpR+1
j5FAoEaUoiFYFSN4DVPRjvMd0CJtHSYseAwH6aIO9ythtAaX93ES9kVWMuvMJMYrQ1b3SOJugkzc
GNgbh3LYd+a4Zcfm7yLpk6AR+TsCeIplUFmXmHWMhaeVzn7SMNjNmfug9bW7sCttM3jmVo/A+gLk
oz0Z9rOHigD8sb0QQb7yehZmfVVuoyh0FuQGnnPTJy1AbhqNXW5ddw8zc4FUmp+FpTbZMX2PyyDe
T+4nJ3xmHXsewyRCqe3ukpzQzVqR7YtwxzgPzC7zrHxsL7KOhEyk1k89wRX0+K8ty2hopJdeHK2M
qHwmAqVd+RaDOsi6zCrr9K4T9X3IMUtyEa4S3UkuE3iH5YyetHWeK482uO7sY106NzMUY/R6uJm0
ccvKf5l13Yt0gxuQUBvHyK8spHNjqaPus2fzAJMNzoCdH+aEUCMr2CT5e6JSLegv1s3gb4toUP4u
wBGgGc4R8BxXRx7lKbhEC2WCpMNx6dvma6YAFFJP2qUOk4L8FLAP/XRnK1zFWKQkhtTOXQ7JAiT1
8+yGRyI/ry1T25JSD74P9oWvklM8lJo2W2CmOlyA/l0as0/24WbIGHh/1Bt3XMZPBFmR6uIXpzay
rzH+v3v4O9exNpwLnwFU1hgqUMl0oF3kcpEqbIfbMt2ReJjIdfRuEly2qjGu9n4f6usM0PQmt723
ERZIAhPEV3AQ3yGSufkODJkqGNaxvCzdRpxnqCKAneCLgGyOb8vc+OZP0PaCZL6fi+JgzcGbwcyi
S7tpl/metm4T8xS2pNc0ZdhsppSBEm7jj6J05nXnhAlb2JIcx7Yi47xF8G97DgkkMq2XvqgPs+EQ
PWOAtDb2Ydje1My9FvoAZ2IWpxGRZpHxKSNyysoW6ZmcNbGagmAVh1nHPFj8WpP/c+QLiuM/P/KR
f7Pl/O8jX73qtyPf+EXwqAduTCSo/G5r+SLo8ogJAQRnGAoB9Lugy/J+4Zg30FhRpDPqUfid/wi6
SEYHLKGrUsEgzfDvOV4oMf7gzKcqlKZS++NK/anF6U2SGyrNm66kzURL19J83Qi9SVgwkDON9hoI
LIeBZA4mfQAfw4AePZNbYCJsNxTdJwp1eRgV8aePMbZ13Oskt+sw7axmYxqthwQUVtDIg/TaFKyH
bNFqAAYCiYygePIUDUMDi5FXSIuMcL7OIshjvmJnaGVPZB44DRzR/TJXhA02JMmSwGv8lS448w7S
J8t78zpRbI4+4xTOfLnWFbdDUwQPwi2aPcqh3AVcDOEjAvWB0+BjAP1RcMaVigVS67a2jxUfJPBY
4s2KGaJ39gv19I2naCI+WBG4gcNKABppFHHEBz2iC74axSIZg/5aB06SwSHygJUgeXvBFbRF/csP
Ow8mkLb4ICTnTwfqZC7d91mxT9BfkY0Mjm5SXBRWvNVS61B9hzayHOApiaKoSHAqPsJiR6uOOZiV
OMoqZsKQV1ix1etBTm9zZJ6MqOZf3PIm4hBf6rFVuefGcrVpi/JlUmnzOHB0lFdVjSfYAExUFlsT
mq3uDXg328vO8DbMbD9m143W0ukZP0lIpLXD8dhMbIM6LIciixl3u0O58wKvWAymeGS1dew0JHaV
KNf9aMpVM334jr02TUwZph+80mx+dk5QrJxE5qtWzCRc6m16dFPz7NfgfRwbRX4Zl8RVza9uhXzQ
INmL6IDCXtZ4zFXI0b4324c4Lq47PcMDYaMDxxSwmSt8xlkNXBthrWFfj0PwiILfY3fRXAZ1m656
jQwS1+ZydRviA6MkaFc4bPWdk+bRusgaNrCBj9m28h5KPz4nWVDhAIEONbj1aqqYQ7YyesXGHizb
vnh1RuJnmpH9QaP5eHHbQqzQQiYgn5l4ZGZHcLYBSmIUgSCuMrh1fIdrCizAzsyyYwvrYNnliOl9
1mmLqGLRhjTiMtWGa1Tez7lj+UALMnYO7KUz29yhEqUMCTxItjheU80k+Ss02B7pCJZLo1XyZLQs
6XhVjNqeRBj2JEPyDZ7jY5yhVp+Gc6yofmTPfvCQOtVmkC3qwT31jJLXsctexW/y/uBNzdkqrXdk
BuSzlSFwiultiL3TaOa3TLNj6q/5OaVqXDSaDDagkoFpqEyc1refm6K6NoMQHFScfMRzX+0m09/O
3QAOMdVsNqGKiBMAFA+DgZs6StdamTzmDI+NWvllevGK0/Mltzvq+7ZgmFsgoYoK6wh45CGuNRZ2
/YXrZTpxo3Jth+WFj4xv2RUdWaFgU2JPe24rlkNxcQA5lS4Gp6H4DJyndkYqnQSWt+tLx1s1GUyJ
weDCqxpPXJlJ4Wq4Vufo/Z9OmP6VRpGj6s+PxTsArbTA/30uqpf9di4SssIxxhCHZvgnobP1i/31
vPx3HywISkQT7TgY0xjLeC5Tp/8cih5qIUfXXU5TSRft/C36naPzc30ZkfH5hOTwRZOE0ghwhVTz
rS/zJbbVo11VTXbOjVKIY2N27CanLuLgW6C4RaY/jj1tQ+qU36o+e5kLcNyjlt+CJuBudt4mFvDr
ssMbxmKjKiNwGorO3AnnpLcGT/m4o3ct2en6hddDSZ7CjVnaHVaI4KRpPjTQHjhO7BdXzdS+ayp6
Q3rDuyi1Yh1i5+xYTpCfGF2OWJ0WjHaOWlmda72QqyK0ZkpLAODoN7GpTfU7NDQIcV2tVuebOUto
6Uz3TRth2gytsXDGYOc47SmfE3wzidJqV8MzFPv7tJ3SZZwYt5ZsnwKXLFn4BgD0LMu+CqJJuTK8
lgYzqaGPBK8OAtktXQmPWmJlEAFcFSrdiLSpW13lHYVddD2a+kWmyw/RZlvIFK8N/GwiVpNlTYkx
Ep1U44zQDW+X6fVTRxJJMSr5hQpbInTJi9+sgTULOUzEXn2rzeaqnqNHSU5TQmbOyrQwl7vSPmv8
sAAzhl0WwmGPW+Aes8boYUqiW5SJp67UTvP3UCidVm5SQVGS3f4+NpoK2wQL3EEXZ03CQuI8QiOl
gY8lBO4yDgm+jFUQVRWkYFY7fe2SUWU32oU5VDDvSK9yCwgJupddlZPwyFar2JaXubklUmvrqvir
OupCJBWpu02csGbhzhFl9z6jWBWdZaT8qTOZrNaHB590rTTqzrbeXemgxZea5lXbmnxBtisuHQZR
N4TSMKYhrksMM09SErwyjbO7NkGgUpj6y6HoL5ktnUIV/DW2YEC0+sbu5XkgGSyIiQizzXgryAzL
WrHzjBEUymzft6hW9Sx4IBD4gxglbZnMJq17B5Cqrwgjc7v5CYYHWXkmD2OnfNQ6FNtpM9xrHlFm
vJSQZBVvZqmcM82c0F0w+TEMmHwNe4KoKI9i8q4SgQqtnUYyfghQ68Z+WI8uLCkY+wH3Su2Sfxwh
aFKznRZ0UmLV42vrEyaAONVfWTVZbVYSP3YJTpno3mohFbgq1Y17bSUEOW9u67TbvCFiB0l9uRsN
02e4joiiHIi6g4iRxchVZ6I4MBKGBA5X88ohWC7KKWlpnGFUWSp1jvg5nxi6ZKxgVlr6rUDCMn0m
ugLcBfVN4TRrMD7oqkJn7eJapYr/1FXgXemIz3rWnz2S8PQhPZVY8ZT1doFMJFzbOO4WUwbRpWte
U8EsIZr2bjFfCJbVy9qAqMK1RzQaErranT7Npn4JtO5yKNrrtNSUqC/ZoJpeQWA8YmUbl4aK9pMq
5C/uwP51KvivbtvPUiO9JB0HFS3uvEZV/cJEkgMd1s3CVBGCCEPsixYFL1p1zWWvLZ546lY4LWr0
BqQQtvhQFrj7I7gw7iUb4nEbNF23Cef+AvwH0hHyDO1wfI1VwCEySLFpqyalPILe24hqZ2cwIvDq
LdtwvG2Bg6nApnU6orerEoRDeS5rbrqCW8K1j2kdEfI4+qciRQchOn9k5BjcYpu4Kkrv1vPFzhrJ
kbAJklQpPvCciIcOjGoDYyJ9qpGAof3rD5rumMSXqhtbxo9gcWGB9ANANW8A2WmGb2NeYAMRMPOH
/IIH+s0kCmI79QwCl9ldlwL/QASHtyeVdwurhTCWxhLI1Is7Bo8XoQ+yKKnSQxP215HEvWXGjIQQ
XiycojbWeZDy2r6/lXbs7ua8e2vQ0C28ssYsk5shQ7BKA1KqfSJ+4LwI62jrekTDTMWbbXFvV6kD
pyqDL5MC7AA4NecnHUH4oi6qJ8PFoN+6QHGyicEi8iayRoDbMaMxMZnmOmkfOmjltnjrvOiRjCT4
Sn6+mUgXWxj8yimFqKIHy2KIM+rBBu4d3yn6pb1lDRT7AvlaKJDEFJK0K9Hfh1NyPXAmLtsYH28E
3ADokQRLpU1cbq4DTSTmv9G40WRp84DwOz5OmlXQ2mEKDfSBoNnEvpct4br59C4LeY6D8mNUtuBG
xE82EaxIJlBh2F1+QKtbnVBHHjn/8fg5+U43jH2blvVSTGa3Tly9eIIWnu4bNWg2ufGRgj9qk7hi
Xv8+VOkG3cY9h71+CR2N+ZLr7ZsouHKi6s6bkx1r5GGBZG9cpFSUi0kMO58AcSfHy1r0Avx1reJ0
HOdbBGJ8ldUkD1Tk2Gymwr0x/KxaS4RDaOYIti/LDJVP2vl7vZ5ebY2LoQ17cwMl+27McYW4vnYR
BcFrjUM3SFhaj3G5LaqC1zvlmbALA0eFHqw1Q35DhEnsaRs9Cx2LR1zZZ1rTh0LYW79Ug9nA+oz1
weEZa8DSMmsi3sYcYaCTUpjbdPI6OuZ1HtMoGNHElG82nm3goB7kqvVc8outNZ7a4UQLFztkndta
/Apo4phEqAjbyI+XVV9eRj2zJ9HW2wkxHahBVXnryS4OSOqJXMhhemsCiDdVtAOomjUB1e9hAHQO
tUe96Q1LhxvR94iop2WBI5+nqv2YuQEuw8CXy6zS7sJ6uCetGVd45C2LIT10jSEXQUf7E9BerEwR
3raMAtd+2u67ABtPpnv3BKaeg3TwllbTKlK7hjeIVMml1bebMdBSmEX5XqNy4oaM9eVgomUlCGQ0
Oc/5tjhCoFnY+sBIPvoYmGRrpf1p69qdhjRn5WQohRMv+XRU4r2Zmt/6qb70OMnRBMlvDWYl1gXg
RAPjgoANhsYzHNnRTh6DDD4uZmlz6Xb2EsTVJvDfkKUcKAwY3AutWBhdfFHKmlTYLo5PZlTs/QrQ
mOsmz4EmAfsN8Z1RYyRFw3rjAP9fmEhehTc8jtRc2Bxmxr1lka+r1gqWkyQgLUsqPo5ACucONXku
hWC8Wpxdd8Ks6lRMBobhE9UGc+jBGdc44Dd63z2V2PbxbxvXaYCkm2vhaNkRgB8Z14suKW/JdZVL
yUSK8nLkOV3nR+DGOeEZTHbd9lucESCD8OSxGmkBs06/n9PoYpzSO1Ow9hgaHqmO/tarNGR3gJKH
WnlYQfc8lE29yfXRZb3UtDwO9YKrNv7wqI3hzeN6HvOPOasvZlAni6Ce92hKngAnrVonvi97tgIN
VZ6T8OgDYdUtQw8bUJFG/JCds9XH+tMOKemcYny2Mmo+fK2wGOOnzsn3Pm6XMMlffTd5i9sOlHt1
gSDRWAXZiNSLYT0Gnt1UOTdjCPVAEk3nV8Xt2Hi7UrB6lrSNeoxfyEKGbYCns8J1iP0QM92hHos9
C7VlKlF3XTSxAacocMzkOs1n+2kqIts9VZrs+Q+yLfvVhMG9Q7/967b/n9Gs4o78eQ96+5r/69BF
zb+u3sjq+QMOinr5f3pRALF4RtijeiQD01fS7n2Z0QJH0QGkQ/BRrtvf17L4TTxeQ5touXjGvC/t
qPjF9UCkEAbKZvH7nvdv7GVVs/m7XoNmlBGwyz8Y0HKk4eP9sRmtObIaGuPgCqXaojEvIxH+D3GA
sH9seJWMyiUUhXQTSgIH6oqSD3xpeDPoBl6ZTuMJKfk+DztvQ3MR1xsnG4+jhbNupc7B7awoG7ZW
1mDLaGhvTfwiDBNbzz4yJ/SafR741bGrSdtiy8SJfVQ5J+NaNNhMsJMYLDfYnoCMHPRyl4RZtkaK
BoVxrOYtB6q5Hgzb2NahqNZNMcRbyy6xVPb2OXbyYFsmGVlyRVBvIy0gtymoi1jb5hlyoNu8nsPP
jF3mxvpVzOZix1x7v4rcvJR/W9PLZ8REfFfCMSJEFQdKrrpu8Z/VUTUD+OO00cbwySqNy3AMITPS
uyx4+O+tvtqiBDoMnU273GqnLuwfZGLdVV5zWyNRDvL+wYZdBsCz4kEbiQMP8nUgqgNS8L0RBAnO
gS5aBaN9Cc1u4epwpvugYP1Iba8zXpiL6YIwvOcyjpHJp46igldXdWTHOy8PaYr0t9BOpsuwtJyl
8IGmuamBLZIx+URS4FTY2Bs9etlAQFJsx1FucWrPl6RGXfYg0UYSoloNoH6WynoVWTO1ZrmuhuiY
DdJa+xbWkiAsyYyt9z4xJ6GsUsJeGdgGWrKvSSUj6t7Y583I6DjMbou6vQwt/HPUe/a3qQc5N9Gv
LnXT3ozEfC1GI1oL0eITdPNV1vv7sayOg8DMZMQhX2vrLqmkaZSDWCpOH4SakTivhvKf4tbDFO3D
O9Cn9lhBDVwGHoaFBO13keofwu7eDeTf2zq1Mzi9mcbTP5HRdZkzBDBGEUmk0MwRHUO78JLY2Dau
/o1Caz/b2qk1nPs21LYpNTtMFFLHE1fBkw8sh6/7nE1cjDm79tdKXJnZQ7LDtLB1h9ZcVRZfPGi9
XaP3j4baZJZQ6B3Pe5nt/kisOKSberyQqX6e+Ut7Iz9mijQjCJUvtVezMT4Iu98XYj5YvrbznIfR
fync+QLltLuRcbCuHQmW1uDwG996VqpdS2KVQFYqzekc+JxelklyFb3wMxvVZwuRwqoejAO8CJLI
xVUV7qZMgOadMYxKxuNOqN25Y3MviFAbA3wOMgzOoi/Juo4mvKM9zpoi2bMbAqreGw+lFt65bnav
lcVizqG3B+Une4KLytMuxlHHmB7bF1XsbVObChOf8AqcabcXnWhvxBBf8PkuZay/wERFmWulEaxo
vD2mVcanTIzJbtQy87lAiPzUuEVEUz1NPnMHP7kZfadhtAZhSABkYo/fhqtKU46EFI9m2GKXqUxN
Xw3cFoceZM6pEzMmp7TufWZiDNC4w7D1FovKaxn6V777BqIlWIXSftAa0173jX3yQ6JfARGQuCm8
houZngemZ3oJ9xaYjClvWl2vYSwPFTmFBKEZRnyJVv02KxOsKENRLvqyYTHuCZoU7EmM2gDjUCuO
lDku5pijX4Z82TMwSjLP3kQA59GGQcQt5/E7knd6QDpeE0/JNpiCQ5wBxZkS/xp98Fs3esz9kHnE
qG18Tb9llf5sWeVL0yXruYh3fdx+OvVwlco5pqQkmgBlwLMZ04HbzksxaXRfDYwlg5mEP8RUiA3L
Lyr7Q+PL1TSBvQbtG1fme2a347ZEyh3n/TNgJrweLe6tqHtpWrEpa37NCfkXvvNo5M2D7PJHaRSg
ksb4dkynQ+4Nu7YyuMGH+DEIp300cIuO47H3s22QAZyFcnTTtvMVm4znMZSnIhZLV/SPg8riHdBC
O1grewHzZyRzgt/GOreTF+rwBrCmzTxKQhFIqWVbN9oHzUh1ZeXFMpb2LXGNfIOpkSCdce5Qq1y0
4KOWTaQ/cxJcVj47RA0dE66bdlfEwaOkjCMjtN7JjHgpsKBax6gk59NnoXPAmLerk+ACxPGzRzXm
z8WydBO4MSg3KNfB9mXsdpJXjVUB6PBdh2NsUXX+q94mF3zXq4jGD3WUx8hmum4oY0E2NRexru1q
ab/4ONR6SlTiRm9JuVqRXDZvGggJgHTCsy7GT3ZzEodY/qKL2FqYc3SEZ7at/Oouy1ts03mx6wO2
KixAlO+HHFXTxKsVvdg+mOqaBsw0i3aTZzq9oxDDmaCYcOFiuqM3rp9yPSTvXnevWPext8ur6rIx
HDZagFo3ICq+wScnVFsPtKehtLleZqVzxYy9sGDovI9wahl4ZSG4mck8kpzqf36pz86/FjR/EXik
lNzC8szvk3+Vd/STQtFIpEHGg6+d4hjTz0PivQm5/f+9xU9j/Ymr2E463kKHXWw7V115Ncbnv34P
pdT9vVr7LkjnY9hKRcdIQlo/fQzT7KZs8JgrMOTj4Xg1t5gk7mDT//XbKJHuz2+DEp2tPeJURHtK
yvelYAuKGJNx0gdXHf65Kg4pDLkPq/tOnJVR1G7YAcp/WolfJZo6v8Q/byVWH+m/TlQzH/+90FIv
/E8TYVq/SNA7Oin2sBFRp39pIsQvpofIAsM6FzlqkN+aCGEi4KR5YAyMlll54H/baal1l6s7DreE
bUliDP8W2vRH0bdELY9MWqn/gZuyTf6+8fpyvbQ+w7h0zs1zXow7PYkOTsAsr5/WX76ZP7iJTRcx
6tcLE/4jLgz0HYblcTczEfjxwtQCPZEERAxnKe1k3wa6K9Zy7mirGYkVAO05LRxtxYL3ypu6Q5WU
946JsqpsmCMNFPDrpDaSy74mW9RiBra0JsaADENovYf6iXgLYqldavNQKSDCJr0lPsldmmV6xn9A
lI9DgelWJsZDrQ9wY/HwprS6rEg89GJOmRy62IrMqx2jznzj2/3GFJLk2dkzSFoY1aD+UXMdLGjk
G/Mxn3ADFsQwylvLtG60bGQ/h7VKpSgQwMO5zhyx9vrT4GfBOvOMez9w04WOIGtlhmjS0M1dS23e
DKJ79FzCjgLnJcgmTilkHAlTiFU6RWdgb5d47MBtOXKH7LTeNgD3llZd3xd2sIsU5i4Nw0voB2+Y
/pNNn4G7tntO87QYyZHqAtgXosCWiPSSJ2m/nEV8Jdx6w1CYtoZcRyS0L51j3NdNABU66xZw7G+c
qttKiOmBTbJd2zcZPygZWtjwxTI0JfHLZbpEhuYuHe/Fa7O1bo2rDgLPoukEsxziu+mAHX5/2GCd
7tOdmgjflzxqfSfxXGeENKPiMJzpZA5M+ifkFkNoRBto0ucqDeMN8+XtnIkjY0CWQIbYej3fbTig
HtVsRq5l5b3ksDs8wgyAykwrEhAe8NXSwDQgBAlgv22Gbm/IpF/Vlv5Nh9O/CIbpIY0iuR2t+coc
Qfw0YUzuxVy/G6n5blLQg3IydoQb7h2J2zCBx50l8jpL3BUyW/vgWDNc6zT/NsflU+g0IZ1AcWf3
SbwSlUNL0GG4ZZBtWv7GJQetXnOJMcgVbH6NMaxeyW5h8Dm7GrZnaY+M2fUR1ze7xjpodmLA0aY7
w8ZwB4Usp2lIU9mAEyJK3Df2tbDeB93bRxLq6VwQXwGZuH9IpIWWNxgM6nCpthEdbRYWfHNvYV0j
Su3UMjae3OrVt6MbI9E+GCwwlvWa64Kr8W4ygZEGTQtCh/HbQOwKodnIUFmQuHVarPBS8fcmObuN
PtqnXTA82zFLrTEoj0FEUFpTjtiTWOUKTHRxsurbZjcM7dPsM54bAf73sX6O6+KY2NyyVp6cU1Mi
btH2c8p4HNRPuCaDI9vEGBvtgZxtIlkg23TGDTvr7cimMZlpIxExovopnwjSzu6cfSjqy6TVdsAm
gOnoL7NkYwyVqsHN8JKK235odsiJL8pChZ/XIEXrpbnRCQ3zBOyI2VoPBOf0prWpjZB1xVz2W8uJ
241uEMYc9OIlFwabj2JY+Vpds0gtkRPlV1MxPDNlANw+iYe21d1jqcWiuivifhmAIPXRLWdUSv/j
MfqjKo+bBmUZnjbYtygGmfqo4//L47pp2Czhz5zOA0nlC7H1L8bb4riPsca/5o/wfPbWEsv4JQx4
ZOdba//X7/9TEfPr26toSGDbpgTA8uPb1z4pH5rdzefeeS39vaczmB1fyCj6H4OnP3ofOCa6o6w2
At3Gj++DnF5Cuu/nsxEdwrFZgBn1gv3QNf/jfX48/X79Ovk+OQMxI+Jx+Gm8VaFMkx35CmdbXtY2
bi6WY+Lxr7+z7+i7LyXZ9y/t64f56U26UNcbM1Ff2qZ5AEGy7nf6u7sCOVocM66xxQ2DkwVZ8rv7
k7tKF6f+GG0emrW/vo4vhsUOGeKhXfF/XBUb/rd++OufT7lVfjqZTSXyxCMp8QFK+dPPl3bzbOST
bpxZqZz8a1RUR+MxQLSwBOqwmhYXz8Z2XJ6qzbCT7GMuEbJcs4LYDIt0+f1H+WcmrXOf/nkhuU0/
8vwPikhe9FsRafyCOIUS0fEEwWI/4B/NX/DrKXMQlZzpqErx38Io1MKMmgULS1qBf3OUfhdGMdfl
7+Ifyodr/60ikvzPH66h78IoBx8Zfyd0OaH+uh+eS8yAHXPsXO/KzMi8iKUxl9vaKoL82tIIxljL
MGv8F88y62srBT53wXQpXxKxcIBieKhzL1kiiX1L4NJOCIOQdKLIEQIQaWmBYFji6d/nYNHWXe9d
J+7wSfI6UUu1++p15lZjgx80jHhktWWCsnVz6zSW2k6L0jdZj9ZSKf+CeLhOgMssbIiJAZwkRzch
9jAHQW20jLwCzWU8bSmWT+asryKSmClIJNwWfdpNBv67XDPeGMngU+/lvmZMVQpnj/n/W5mPR4RN
qVzjbLCfVUwzyseEEWDxUU8ujnjAALGHiyNRs1vUJBvOKuANvbGr2gJfPirmoUUNglq5XpcZKyiW
C3zanKFWU8yPWdMfiQfM4EQzwqkT8kPNyOJhRRCihXqpTtjzGXXA/GYwXt2EQ7Gh7KmEQ3lRdM8Z
00RWibdhXlyNEyBsDTX0JmvMElxsvh8iMpe8qMGdxLG/0gfRL4rMLbaMq6xVhzRkaXse5/p0nclk
3wRkw4Rm/D5liN10qhy0Bj4sbo5KKyACyuwGyCjGZ2tqF0bf7Yd2OsQ1BYrvQSnpG7b02EIG1JhG
vJqEpuFCajGWpB+Zlg9P/D4vW/kyZ/ZRRI0iL53TKiZz1L8dmrhdQg6JmxWnYxUecHt28zpHvYum
JE2L0GYFkXjVaQyks08b9qnwmcJthJyVHMmg8o6mo4UXTlJA6AJ3ted7KfU1S/Ryix3Su/UTn4DP
dFJip6ogcaeH67OF9izSVdqNwdbA0IF+Lq/Ng5Om3aNb2O6ObFf96Z/H4XeZqM7j488fhwSHI2b6
g+chr/ryPGTJptM5I6ygfebM+m0zZxL9IXUs4KAPeFjyKPr9ecgTlD/6XQ36m1CUmGTlvHQsj78U
B8Xfim40MVt8PVN5HqI6Re5E38+PwJLup+fhOPioN2ykSMlcOhPLhQLBdR9arX9l2ksLubcWayYF
MwpwrQtvJ6UJTzD8rbh3EPpRpMOEqZJ157Vi1Uj8TjoX/cpVGvMOsTkRVETYIz+flQ49s8JmVSNN
T79r1BGrx0q0rtTrpdKx924D21Zp2yPPblZJZ/i4HlC+D0oDHyo1fGij9Ff6ePjcjz2C+QjhvK0U
9MVIJuq8JdNjWPRKY58gtqcUf4DUuke9jZ9I6fFNpcz3lEY/QqzvxSB8lXq/y0wyvhD0YyXAD6A0
/q5S+2PSLFZRU31aGAGQpLdwXtDlTR+DcgpMEmqr8g6Qs3IcTcwEeYD2XPkLRJOr82Aol0nJINMq
iMiDOcXguB8vrRlRmIlZoXP9TYe40cDEYGBmYBe8bSyG+pgczNjolyiEkJb2YNoAwCeDDzNGZ7pq
QcsDYycHR8UxME3A7dpn0Z3bgUNP03KXJcF6LOK71NNWRAJcl7V+SQTMkvMoWNYyu+75lXYsWhCj
R3W+bTXD3bh2eWEA5cR8SN6s4x90Tj6CZtGtfT8NsePX18bIVPUFiQzrzub72anN7VRuM6oz0Fw8
XqYZHADqtOSbKa0Ni8hhEZndN68JN44JcXVw+eOoGz4qYTTLmDEyW5xx107hSeS+u9aGcdpUbfg5
aHg6gbQ/02nctfN4bfTGi6VinYv5Oepjb2mzW147gXiPzPFi0IPpJQ2rZBG1JUtG9HZuX/dE0VW7
WNbXvkcCVe1qh86p7qaIj1WmHVvDwL3yR2R2sJ8/hepJQ5hOMrHJ1rYnfTc7n0ZciHVktA99m4Yr
yHfID13zlASetZUaKVT+vB1LQ67qrK+XWhF+C5JqXuKWmzcuO4xlPBGioDXPEU6igttmmbs5RBls
KeX/sXdmTW0kXd7/Kh1zX0Tty8VMxGgFxA42xjcVssG173t9+veXCHUbkP2MR0SM3ohHfdHdgKpK
qcyTJ8/5L1Y1zmsPgr5CwanvdHdqlxIW3tKXEnsxM0f5KVTDT4bre3MbW9dJ5Q4TVjMat+VxbEUW
soiI4BiCK5Dk06aw0Ysyox+Vj2xboq/byj0zY0TQoyG8sFV5lWsIu5mZs0o7SIxg1VtK/UiEiWoP
DehuWfSJC+BLUyaqE69TJJlGlMXou57IlfegRVoOFxhoi+TboM1U4xMb1W2vSkCGuy+Frwcnue+c
jD2yb56dryD/fDFh/8IDv5UQr/M1+1LiQO+jb5zr40WSCBUy5uaIGvYsV9JmhlHaTYuyNnnIsdcE
yzL0nXnUO9TH2t78WrXVCft6c+Pa6NxA7YD+3K1MJJw2B9l/Z/qChP/rre0EUOb7jU28Z7uxKcaR
CcufUqmO/J4sqPbbjU2B4edgqUj1V7M2Flnbjc060k22Osu0NgQIdsptog8axTbZC6kTY7/zx4n+
6wIE9WihQi+eAcagxoHxzclc82NUmFo4AUlk+osMPNWszxLdHq+pII2tYO/77mjOdb+VfSwDWuS/
Qc2rChYC6gBKXcf8Eui8DfEd410baCjil52BMrLSm0WDA2Lsa4RshHcxPNbjgPksuWGrziTXydKv
Y2nSy7CaxinTmSXnrb7qDaODWoytb1itrbEuxxGoGC1jedr3ZetUTG6/XIZV7oDLl1EM60twrV2n
fwKoiQ1JgBpUk0WoJ0chKIGia1dwGIaFagfphYXn5Q0hpPsmp4ZBty70vW+tXvaLGO2rs8CMsjkF
VvcilAx9gVuKf8xBjoO93WnDNTp87knVZN15lFodEqdtPSvd/AdtbgS/AdOUazsgx41rGIRT3zVw
GjHC+g7KQDJlBA1cwWNn2fpxdwZnDFrIGCxjdL9v0OlGxEvz4H03cq9D3SN9N+pawi5HHi5KuQwX
EdX9hZ4rCC1VFQ46KAKQhoxtfVxgtgdYJ6e47Ti++lUb8/HKH8cQgL/aqN9QWjZQmUM3cyDX/iKg
RjOF4tQVKYI3G+2kuWya6DtDmp4UjqncKnRYoYTQ1DjXcRWc0Gz3LwZ2y5k30I83gqpaOg5CouHo
2Be0cvFPR5F96gzPJD1v+K6bWOpCWas+N0nWLConRJoNPv05Ak8oq4PWixaDA/VL6QvzWiGyLYLC
gJoWaPmsbuRsRTGpXVVVdOoOdL/o2tuLAm7ljw6b92M7T7zTPgt0ni20pPPARZMxCSqK+NmALHRd
N+ZZMdjpMvfw0YYxgU6/UdZIA6iOexqXkvkZL5B7rJrUM1Wy80se311IdIHPq0wFzF6W8uUw+hRs
2ZpOvCDF3wQDoHO9yocbH3LkrK26Yj4EDfjKdnQXVVFV3uzfh4bnQ4NO8e7XkfU2QEZwyJr30VW8
bxtdVUjXgNwUuvNIvRqi3reNrrTpyPppuZkOcY2Kyt/HhudeHC0rUYm0EX4WbbqX6IrBxrPPO7Vy
0doSBht/AOjDK+ftsUHHjwB5a1GsMXmUN8cGxW0Ac5RmdtWXsrVIBbpch18ATKg79i0Ile0gqMJy
J1/yIeSVHJMcIkRpRSexwLkHiVud0+rrJ5WmFbdhY+rHRt9UF13k5o95Df7CErh7P7bQLvUUukS5
I3XaJFGk/qoqk/qyCEP9QZLNeqG4Kg00dNaRo0zdlKQsdx5tCf5DHxuXngKCCl4nPRrbTD5BMTAe
4tYqbzvVaM7ryrdOIFdnxcRqpGihGEP2WWuoF8NcVp8yo4m/GHKcHntG5czS3K3WLUezuS/DMbZK
knYr7JC59Nv8uhMkkAaCmhd4+azFAaq99CV07L5nlefrKwXGw9AvwCo1S2WsG+lJ95zQv6A/RxJa
QGEtsRrLU3Tu6b/c+tBBic0N2N+x1kaCMmwKGB6yp/sA6rMYABI2rG3eAehABTBYmRK+1uTVsF7Z
h4pkrnYOPrpu/2B2sbYeJBzfwAea6cLzTeN0aMzhtu6yca0ZBmjsFMU7DB1oWwWe4gDOb71vzKRg
KqfjuHYrf3xCSvQLhIZF6gWnkrDsShSTipABI0nKO0+Z2EozLCMi2spTqKVEorVn1HgLTfokA+MW
dF6wqJIa91J4h3jHRcW9bgXxSUzjUYvAfuUS2AZf7sja7bLGPKQyb20/T05qCR2fXC7Mi96BvJSo
NFcnam3AXmF/e0Kl0fkmWZ10qsU1jmh9chnaijQr67ZftpJU9XMOqkU9QxA5/2FJGfItuZtidmJX
J1gcmF89RClmowMqu3ej8MwK4XtU7NUPimtl024UAKRozB7GppdWTF7RnE27y9Ar3S+oYHWfUkEb
aLI+uJVQd7zyBeEgRd4rnqVwuCq2NmRTObT49bzqjYri3gC5GPMv81ht1SfHbCe4d5xafaddD8jF
ov6fmcpTLkgaRQBZ2skrhMJJRib/jsXPsVglLfx1LD5flwE+3DtKOOJ921gMuFqDWmWhVaFboqX1
UyyWjzTHQHYZdAOHFwL4P4kuFqyIF2/zWRpH20TXOkKSn7QYEyQE4ABH/EkoRlXjbSgGsqOLrQBs
hs5jvGl1QSuPVGtU/ctEHnX33GdFfO0V2bdPjBJtmqtM6ozTsSnMr6av48bjSCnn466X6AuOVvXZ
8fXs1nECY5xSoe2yhZZa9X2lUXqBJQPQzvTDbKIH0udeBaMFgRCtWFWNkGg2YWUgWoA7WdOad148
rDtvXOMfp6NMemNWNu45CKKrcRJcqoNFQhSZ8751KdSWp74JMwPSKYDFsq2gUw3rqChRd+ioFjSq
x3LBzgZAmR1PoV8v4hRmk5Qi5mA0zonu0eNsO/c4T8wbvTVuEhrqs0izHge3vxhBjSF+pKyLtLjN
NfWrb9OizTAPWqQpnDVPHcelHTjJNGszVOV14yY0rTOqT1/UJELFPY3P4EcR1iMAm65qz/TKIssv
4ZolXW5P8zG6QQ7kU6GP+bmGmTNAU2rKMF16zNRo6lKYprIcU1OotR6/F8hzZyluQqOVfwFW3k4r
BfhDI5dPY1UO88gRRiBVcxyDQoBec6xESKBa6KjiUDPVdZI7W1UpFAkUacgY4ArSTT1ksI6DlP/S
276ZpE72OfWjR8uJrm3dp3EXf1ci/87M4AzWdaifuYZ7EuTSdZCL3oVh+VSDBCyahNKj5EjBU7/x
TfNOLxNQzYb1aGbpahy0m3ywKafJNpEMxTCU7bMQzYl+lQYKApbEaoAbyziALKUKQ4QaVaumSD+H
ZhXPTBTeF0ofzM0cEVrDpF3XkRyzgy7AIbQXjQ3ywxoqG8Un/aRGxegzwtg9+kHN9di2iIxpPsxu
kMSFJIMaHJpP5RB+cxF/ODZ9cg1DlxdUde5N1f5i4cKllsqa+iLineIx5PZGGsiv3fEyhi+GhxE8
OvhWQ3YBr/YsdqIrJP2/BqaTLNJoRPizR/tYR8voRM6HVW0y7RQjPMsw8rYT1F98yb6XwCRPamCU
UyXE7F0qgYN00YWRJ5eaU650x7xqKxv5ZVF98ix9IWnFV9oH4HhVkMKAy83MOs1b83IQLhFIRqwk
x10Aj8xAjVd3dmh9M6X+nDPkk+omd1VtnSjA98MWwIPsWxgaxw7uQRnfgxsmj7HSscRGD839Pm4Q
zzUv+fBir/C/FKXBAUpOLlVXucLafFE40Tco+lNbbKAoNUF30pKrGpGKs1TzV1ZSp/e+CTIlHpDf
xWUgXklxk08N4eXgyqY5tZJk3bmodsOuv1aQyY+lDK1PioMT4ArHjj2exWl93igRFTDsxsxkXWvK
6Whw0069DtH1jl3nxMcuo4rlpQ6yQcsR5w5cKq+0F3HOQk5qiJBMVsVpV0G/2vBPnabWVoFSptdV
H7nVaY+0skCctgBbNTBRiIYdK6F93yRpjFh0QtUV99RqUcRyvcSDlEpfmmEb0uvqVT/op5IcKBc+
C2vKd25cpkDYJ0Zb8uXUVn8/Fql3Q3MoXpEIGMuaISCDkOJjBYHsSQ4XRINQ4HrypDVrH2oCPk5Y
QXHrIZeVhRS60b+36Q1+UeAzfr1N3z3562THJi3etd2kOTDRYlENndYuXZFXfWcNv2fI/aAmZNF2
pub0sksL20GDRrCN7yqlLFAF/+zSDjUsISbJPv3SuPmDAxM4yre7tG6ahiLuxb5vCtGr133nmLMU
0vn2ZYucZDULNe2TZ8jHYZpKp03szRVEhaaG1A4TlzZk3+GNmtGQmCutc1pTiZ7mFBcWXjjc2VJW
LJsQdZhUoR6EmOQ8bPLvntqzSjhVUGfF3qSRZprUfK7sUb8ZkrBbmqXpnvn6YCITZc3MQsXgx2rL
c4OAPTE81V/0lvKtxuZPdpv6OO9SZHZCYbki7PCCvrmhz3htYexzXeRJPPWizp5xMMK5lWPVJMZI
h33EQZTSoTeT8FR2Hy1Cr5FYkmhMhsLezW6CRyWlAT+rWhhDdRq2x6YQp/DykYKzFnmTyE2VS1cl
5eibVBShnfTYUiix5dx+FOZiJR0t7oLh2Cisx0r6zzMHN7IYV7IQd7Iel7K6BJtYp+q6hv+4MoWV
WVa3eAS74Q2OOlNIDatWQpWzNDU8XxNEd0YwfUJiZG4DDpyWz4ZpCIjkY3Xr4KSWs1+dGMV4RU8X
BB9ua1phfc9wX0PPUdhr+NBIEaau3TuvBUnWocrV4txW4uAm4+RGdb6aqcLcjazGWuZx9iXs4lMT
/7c+xAhuwBGuF9ZwTe0sArzijNR5yoV5nIJOJx5ttc02wbDgcgYSQDjOBQHNn0i40KnY0dnY0kXC
n64TTnVxavRzSbjXJcLHbqyqe7OtHmyzn2a6inWvF0AR9wJEPLDBy4QfXiKc8Xrb9GaV3N8hwg6J
S8V2N2hleLQjrSiTMI8Qe3OVV5jBgP0L5+XYfNfz+ktL3pF4qb5wNeUx5/i0gH9Wn6Z4ZbuSrS3g
OLQLs0fJgz4g/oRM12WDHjnMMT0pJ4ECjSHXtROpcZylZyf4A9sZCyGzfwyhOdOj6puWd0jaw72f
K2EFOd/E4jLNTZ52SKas/Xyap1G8CPDdMH0Xh3WY2NMiYI0geEG6k+Ew7CJdw/EQHwtsrzxslWZ0
MC611j1WjfTK79NLM7JPJClYNOpJgrF1d+5wzUqvb/Oiq6fmYCGvZd5bSKNEKUlUp4WDsL9eRgqw
R/jXVVp/sWJfnmU9MlZZmDvzyqLplzkImdZhusii/ByQ/RL5kE84zZxEhXdWJzkpn4o6NxQpNW6P
9QbJR6uj3VH2/WUSq+MpFjcPfkWB0qRCANvbOgkL60x1kPiocRKQkIOwKyyysiiiBon0wMzzFRsX
BCUAORCcqU1wpiT5Q0xVkrJC1Uyw1UX51Lhvygo4TKQvARk4eG4rJlu9TisrBQiC+hSI56ZeIqAA
PcTEl14akpvOdO9Hl+crcsBuIxCPseZ9XhL3QG/jGcjKE3csn4pU0+fqiGlqAUZX9rIRbjaIE4dh
nba1f6+62nXdYXmnBc3A4bjSZ1EL6CUq5B9AXFZ6EJwFiJFAo0k0pnWBQ0HwMJranUvxdFq6mTXF
qVWi2avcQELlsI5qhael16oEt08ZMWhyGvxe2LOL1HbnatVel36zdFP1rvWrc7mVcCjJ7dOgBBPs
Wsl1DLAVD3bp1O/iT4FRA3Ot+1NzwHGctBGMJfplKHjHKHZ0ESV1jEBG2T+HaiZNDMTRZlj7/PBG
967IPUSFFVQFtABiYu+Hj2VORSqjFibb3TjjeIiyHuU8rBel8bi284XVWZgXFbQpgBXPpRYVmsjx
bnstmDcqfDs3XzlO0lIsL08BFqBqp/joOBTJsNQ6s0FrODMWbjJ8SUp5AXp9Tds9WPaqj4RM116g
TfZJNdoz+nm8VYXg2OqLEtZem9mrIC+Pw8qtj1Gnjyh40Nsnt14OlvJ9VPJzwyNm9442NxGYKZTy
qQ6D87ov1mPvzS20FibV0NB0VR4yCJNQEtH06SCqRSjV1dhPejjatkwCkL9E7hzvdJSGjSjF1Gaw
7vImOB914ymqCZSBZmbzNhYsReqINVwiRevKCbx13LdHOql69zlm3kIh1XET6nBMa2k/stCuEbmg
uSl0nGQEndg7y3kW+A29StSeaBWZl7ZQgKIWpi7LqvwSIA5l4DA6zfDJxPjmAV9Fl14onc0KpICQ
yFKIIMpiRHFKc+1+WTrlguf7VoYwZVM7e6yETJVDsx7de6SrMHMyZi5qVux58EX5XZf7q1oIXnEe
mGpCAstJmkeQV4iyW8Wj5iMEH5LPu0I4q27dczyUGhR8EdVyhLyW19cIbQnJLVZZMXVt48KH7TjL
hTCXFGSLDKUuoAj+3CJOCgmvDi2vQYh6BVL4NULlC6DAVIOvvCRtX5JH8B247a1i4FletIV1OkrW
CVKrbMUpIim4d1jTQBkHtDSU6tIZdbojCTJBUTa1k+6yt5Cu5ux+JmtBgqp0/sOWUm8Oxu+hyyRl
LhUIjXmpuY58GHA5nCwZqtk15+NzonnluOc6UCc/0A3EYBpqFZDQgEJlG1xUGciApBCjbkcsmAR4
6t/lrk25i9z213k0npY7mroq79lm0Yp1BILDUsFnbsk827YDVTASWHg4hkIyTX/27yxao92roCwA
l+vvVvA/tS4d/Dc5r4kDJm/7s1qX867tAEKJfoNCLm+CenxuS/yMKh8h/Daod10Q33HVgsWWo22D
z7GOujidKjGpG7WdSKrpx9D6qdueD3JSNfMGyOTErynln5OEylifqR738KYEGLxkXKnRQ2cOaQS1
LG3sDLaxrsYQ9r5rEgk7A4ruUoL+iOTkQIlKVKpxHTb76ya0sIfDOsRbWEYJDrlP7wFkBlNN145r
Ua2qqram1g0jpAxKVKg9qVq4jXwXIlBTptglZ7gYuoN8kw6ktIqCbAiykas8S1Zp4Z4pXf95wMB2
AqfD5dSZLJv8hOqGS/aWo+dkhsE0smi4ooYFysYGu9i4eBS1PWBMy7lCRquZxOxDSOQA9OyFD4Rj
5bMusU+FapHa1/0saNovdW/gPe3FqyTAEAsz5asqS4dFZ2L1YzYOwKG2qKl4j/0swuUZH7GU1qXo
h3PsmstGM8zChuDU2e2jpPcwJsAZNbCgp4mrPPZ9ngEDqxYhUJwAZv4U0gFS3eA6kX393Bjs5WHR
ndFWQgwzaHHfy7RbpBUWhdWoC6COwK4Q/nLpSZ/oPgeFXs8uQjW7KYoOVWvkfbC889HhAkOGDwUa
OxCiv+nIoxHLURLUOKbH0QwKBw6ZuXequ4gm5MhGCWMZ2gh9SLkuiyAbWRLVmvo8wRZgEcVleIZw
6hIBhPuG2uGUFClYagMeJ5LpXfVWGVArqqdKUZ+2DVoAhVzee5kIr5GxGgbltvb6OQ3jdhLC1onS
8AalhbPA0GaRRQpummMwdzHoRmdMcmHwuv5U7p0r2cjQXyu0pyxWqmOFKjZW0dmFoaT10kceIdWi
Txizf04QuMvy4lLyoZVR+IM2HcNhEcKyYZx87ix7Jsy/G1l7kLFnnVlUMtouvu0jA60LwSJ1car0
bd+YDlXYMtFVf5XnpTLTHFB4ftfdp5YquLr1fe92nxW9utMrhAkQslmmvnMZVgYCdzhfG/U3doUU
u6aumzZWhO9ghHqXjcGmVje3GJxFpMMKTl2DBxVa90AUFzeNOT5EtveV/jgq8wGibWjGF/OwhdGk
y82nNpDByWKwPstMH2Z+dipbzjqlwEsfrFCnaqbcwkHBolK/yyt5iTzXVYcJ26QPtFuO99AXfDlB
mEG6oAV3Hli5NNWiYNEH8T325LhOKcM68cb+OBq846ZFvAhQkzNNJYpPWoLAPNi5hzClYgsvjHNV
DxXPkcFKA1fHMGssBbBikXTYGLpqjCsVBMuJKWEpWQ2XiqI/lTFgq6wsLijnfsoK1z8tE2yiTaV/
igLnBq1azitQARFN7IdJNQ4/upbqK1bw5FCeqk9VG9m0vKqVZWx1QmQZrwSXurQJ+mYSKagwZXmA
Ns+QGVOA6MeR169Nv07ntZmm8950KKkV51iwk1r1yB/1GEWX0cCEqi0kQ+QfZaevvCw4HuhtpRag
PtMvTiwtwtAXuUi5LNqF3UuwARtK7WAcT7waHSEQGBT01fAcmYpT0ARoQ4YryKDX6E6skjg88evi
1vWLH3WP81DalWdD5l6ivXKX236ICinlOCjd5sohLhIbM1ZuDJQva4T5d3afZtDOOAKxZoFqGnAn
550HQT5ou89OVTeTJpNY02nOxYPooddqjeXYAyUBl5rYmHc4vYop28AZo3vqSohalhEG83TQV76Z
PPQDI6o4zW2MLMbcbbPPZYjrq1ZJn1XSUN+rYbNHlkyuKmBv2XdH1QH1yD9ahclAhfUux8iRQj9M
diOuK0JEintGYl0hZYhZmqsgqMiJII7bC0OKbvios67xL2EKYsCqw0f0WkmdjLF1RhVK4yAqn4Dt
CaYNOeaJ3iFOk7vw9hyEZeLgKemA97l6RzG6G9NjQPOfUBIYp6bVj3RzntFD/86SNlkSacXvsqTH
7Dsp0VsXHN70d5qEWq8gpNAQBNpN3fCnjiDADYOASDIEef6ZDr0tNiq8CY40bkloLf1s/A1Rmo4g
jBkNjSbwl5Qh/6DWKFAeP9GkBMVFpxcJ/gOYk6xtCM4/JUlFVug1K8y/KpoQ8QcUMCTOcdalogY+
7QtPcqVxHuVZB7S2yUcZOenA0t3ZUFOxWKDro9S3nal4zg+gX8elhAjPGuGiUJ53XRpLKz505Z4q
fogoH2qPElosURok1Np1H/E5paG+BxbJQD9tGpPqAyq1UgvaRztQlqC+RdVumGC/aY0TuBa0/K1n
kEMcGoigsqMax4VXsomlCSqHZtHF5aX3DJFokC625h4AEnMSYfcoP4MojMCpl/+e+s9TXxS/fz31
b4OnstxRaBfv2s59VYbwr8C/Q+AD8LbD7NseEajBo/VFVq4phpDEplG+bYdTTcd2G8DQC2qJC26P
CHTX8UCjAG9YGvS+PyQ0iEd7M/tp1bME6YfDQWVJvS60j5xxfTULwB3ZVBfdZETvS/maeY+yw5yk
gFHiDIMvL7YPmOecdTk/L1Xr0oQr2xT5ArGdmxh/GbyGphwN+mUV+V/S0lgWONFoKfRZukyTynqA
e5aTDtS0dCNIQBb2pMLORvWaT2TZd9CmiknjADUsCqWeQdp5cHHDIWasjCGcJ7jkjDimK7jmIDCI
2hg+Or6RztGmsVApDo6rBvmbEM8dxbOOIczj5RzV7HD+Q5ikn0Zcepyw+MLxi2MJ/j1Sl94XZfM5
UhJyQBx+SkdajDj+BE4ERQAPoNzBKYqS4swOagRWkQycWDgG1WQ1ER1ScfBfWngKlRVcqQGXoaJT
URPAPPqE5isWWa6+CmVQiGEnHdPTRUM3gD7cYNCQ6f2JSrO1y82bLqdVUCflpxivo1iYHpmFferh
goT4OHYc2CLlcn+Osa4x6TxLmht4J9XAUWFMNysdVyXToYBd4LM0KI+IaX31cF8abAO9SmHINNrd
10hYNMWFRs1ff9Isog5iJp9MYeeE6DUCmLq7qIXV09Bh+iT3A2WtYWnb3TwHVIa1PPmrMIrqNqZR
GMC35QXhT/HnLhS8JXYJRo+oVDCAaMvl+iSzbW9eWw7erWqNFlKRyaUFs0132zlU59pZx23RQW82
1HpmRjJmzL3WDfoUlBIWDDHdeM8vimmuO+dJUxRzOdO+p35ZTCQXKoGmo6CK+g3/1SEONVbfTbfR
p05U/AB8Z04G5JSGlO6kpQz0k43oxhrpTVuadSH5yNzWas41SDwzyf8S9/pDaveYkPXtbd5E/hTz
qADOv/EY5tUPdeifgB4PE/gfnz1TZypoGlVQcpkIcb4ylQK4ebU21432CsiHx0kgOtb98gE6TL3Q
JD3Gb9F+GGrqmrmOaJtpdY+VjU0WLshCBLoGKBdUNhYejncee2TeAO7QF/VO8YN91Ht8KBPmC2pf
RjSuSFKXYZZftxpVRR+Ps1y4N5iZJ9TNJmyo9JVk896l6bQ0+ImtdPfeWFzTK57CyKvOuuoBvHM1
cQcpW0kouAczLtVTWYs4o9GnN814Ikk+2OWyBxAg9j30226aIfNOIiQpRjO9GOGUcDamVqyX+Fq1
FE+LISpJFAin/x+wCV4eUZj+zZ8zm+sGRufNU4VgdLXNNsRvrzJUtu+y/90f/f5CLznV3ZA//ed/
rB+TIIU3VZfB95pu6Nt8SwfX+mqnen6w56f+7XXiNWrIzSN30CwYCjIbgYn4pXhxlzgDmbj5tYQ/
EVsZeZom4LX/fI2/G4Xff8DNcP7+b3778G8HQXCk9xwE/UiRgZvZ2ssgkKu+GgRKftCrKflsmN8/
zZNfzYTff74PHwNl/zEwjyhqivKkgUaXeL0dA2qb/I4JQdv+ICeCSPL3nAjWkbY5Y9ibMWDOv5oI
rAbQCdBO9Q1+/f94JvwcEQy+t//F5+cD/hwMBDiEUxHMJPFiQF99fFHfhuOCN4uyGZ8DnQkvU3Rj
bP13qPqjuKiTpqswo7bL4e1MgL8loqJuKRQeNkN1kItC20zUfYYCCjboDOSh3o0BKF2gRMTNl5hx
oNNBJZ7vFxioPtDrwTJXQRlBvOjsvFoZnPg4zhk4VW/u9X8cGHbkCho/228Q6GEZlEyEUvZmENgI
Xg+CGKVnoDUqPwe7JnQefu+hoAeI2h4oNbT+xOvdUKhHtAjpwG1G/QCnw0eMAfqHSBduV/+uMVDZ
LBFDPNDAIO8fHO0jpCFg0WqoP4vX2xipqkfoWkB+UPjNYe4QxLI9A4N1BHQMPzaAm5vX28CADRyi
WYatbWbd4S0HQc3ecxDsI13IcJMePQc/YSLwOjo+76Mm/f9Nsn6Ag7D/Psk2aAl4sfYyCO+Okyp6
pxy2bHUz6w5vEOTNOt0nYTKPLE0xUbV7yZKZ9K9mAmk0ojb8oxzEKWJHsiB0dvZcDhylZBPOEcqo
z693gRFcOdI95M+HnCwIVaK9h8I4ghek03MyN5Fhx7FKbCLggzZR6PAWhZCm3Hs+0NjjGCG/ZEzv
5oN6BLcAXoLYQrnX4Q2CMAjdcxCQiLapNAE62L0oiAy0YxSEOQ52EPbPFpwj6gdER+dXe4RyZNCb
BcR2sGep/StN2pFjywjHv4SE96UW4ieyY1TbDjVlMvbfI6g5ajKqsLT0n187AiMAAgpuAj1wkDFB
1ET2jAlIVSBDYYOT+EVM4KxpgHoAGXqog7D/7mALLy0xDC8zge/7Vcok2hAWqHjMmjevAx0KZf/I
wDGBUhtMdWh/4vV2KBCVQqyZ+GltYsehzgqhJrXn0rCOHDIGXQga7xwKZgWWC4gyOsbz7w91KISK
9J5DoYsTtMiOfn2mwGtTA0j3UqE80AXyTjz5z1uWzpGhYk4PXv5tkKDWgqkM3czN1nR4KeTLqXef
wyV9B2oMOn24X6wJKo8oGAmQ0YFOAX3/FJJBMNgsIB1vBoGF/3q7wHFFSLXKL/c6vJkgVPD3DAlQ
SgCQgZ982RLflhnoSXDMYJiMw94ohBrLfkMBRx1dRAVll3chgda+ieswpfrDzhv2zyPNI5ThCX0c
sbeb4es1ASjRpBRN7/ZAA8NL+WOf6Mj5GVtjTtgvg/A2eRJ5JAZJNOo2QejwAoP+EccqSi0K9k8v
qQBz6/VMIDoCJuXYdaiDIO+9RdCxJXME0CK6M+JFvH09CNRiZF2jQ3eo+6TAYu0XF/GMQE/jufS4
GYR3M4FSC2VJUPCHmjqr+7fozCMTliKpwq8aMwqsTTCceOwdaGB86RPsFxiZ7GBVAHs/v/ior5cD
xiMKtFUKb4c6CPvHBFoOoO6FAfjm9W53kMG4kTxzzjrQQXgphO0zEzhUC7MYTs2bQXiXO6PXZ6uK
glP4gQ6C4CvsHRgdDSFtFY7G8+vd7oAWLDMBDtKhtuiE5+ieg2BSWOQcRdK4GYR3BwjwPDIyy3iU
HehMkPefCfYRkCbDJC7s3iJFs5aXQV/7QAdB37/8SktGQ++bNGD3IJA2I1HAAetgM0ah0LDnchBF
BVSktw3rdxmjaM6RNtO2OtQDlLF/ssRyECa11I/eJggk1AiaKBynD3QdvNOx/fPSItYLeCsgSPuS
IbzdG5kCuP5a8PdeIJAHOhRC8HzP1WBQRlRNzsqcE8Xr7VBQXULjBNdK9VBXg+ic7DkINgVlk7BI
J/b59S5rZhBAwwqB9wOdCS8Hu30SRtGvZ1uwsCl5fr2bCRonaWxENRExGfADrKnsvzlwkkYrgjLi
Bq30rivHcuCXdGgoOovXoQbJlwfbZz7YqIjSe2Qo3m4RlGERY3um6B/yGAh58D0DA6mzrNKGYqvc
vN4MBfQQUinTBLxwqGti71xBlNhgsbNLbDsQbwYB7DPmwhgLHyyQx9gs0z1Wg2g9gNujTf1SbH13
kqSwQjZFX/ZQQ8I7YeE/zpsYBNAIJoypX3SnmQnskZwjBdjnkKPjR2wUuC+rfNsvHYh3KQPFdyCA
cKT/oLLwP9hS/yYoT/0gfnymJiOkuovB/Ks/2HJW3//+J+LxM83w1V8KqvLm5htmrvj//3rNXH5O
CX767TZFeL7Ty/tfPuL7m7+62fZzbX94jBrHuvzuD8+/GF4e9GKdwG3+75h/Pa5/JkmSwWgiYm9/
tptm/ffe8Puroxv5tL3QyeN//oe4uPjStz/b5+LJ+jErtxf66eLEkH/G8T1B/H/05JOmrnc9ODN1
72tP1/G65Supttf66dlJx/e//u/sZJ85+3uM+jRL63L91zSr6nezhi+W9br388+e4r8usnLn+HOE
2Pv68/ivWVYyebbX+mn82Zn2vv6iRJx518VJc/a++O+s0/f9brGm/ZbFj/X2Mf8ZFwE/2PvRT5L8
qQzW8fZSP13+I5bsb6wm9x2Y1VO5w65esB72HpRVkHo7AoEQK9j72mfraEcME42yD7h0VT3tGpOP
WKBnWfXXf6feU/y0a2Q+Yomerx8JwNtx+GkifsQSFW5Qu4bmI3bUf+E0te9EP39KEa0LdkUvUSTZ
e9qcP5Xfnx63F/pn3AW+YP+LZ78W3Nt7YH4tefwBl66fyqdhOwI/jcpHrNSLdb5jogsQ2N4DfvHU
rt/njgZ6yh9w8ctyTQjYXuinQfmIJXoVr78/7cgdRZ1272G5iptkV3InWrJ7X/wmIHWsgscdIyNc
Z/a+/u36e8mRIK13JDBCHuEDbpD+NXlKg503+Igd9XYtblCm6/JxZyATWkgf8ilmwZO3a5Q+YtWK
D7FgBXwPqu+77vERy1fc4zRbF82u3UowEz5klM6aoPrr8ltQ5bs+x0csZvE5ztf1067rf8R65vr1
+q/Juvy23pUzCOLCR4wU95jGu+/wMQtbfIpp2Yzbx/0npgo85f4fwV/vPBPqH7Kof6couu8O/C+s
lPe+fBavd2VUoh+2/6iTmOzyNBNiDftfvF4jsBivmx15uNDV2/8GosyyYx8WcI29L/5bu7d9v9Q7
cvyg3pG0iXL5/o/eEAl2bPGCtPMBF6dAlOyqywnk3N6X/8wVml2BUnDD9776QxbviPMC1LH/pZtv
OzJlYVDyLy69qyz7d4v3fbF2q2y4622va9HiL77HT+vyv/4fAAAA//8=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title pos="t" align="ctr" overlay="0">
      <cx:tx>
        <cx:rich>
          <a:bodyPr spcFirstLastPara="1" vertOverflow="ellipsis" horzOverflow="overflow" wrap="square" lIns="0" tIns="0" rIns="0" bIns="0" anchor="ctr" anchorCtr="1"/>
          <a:lstStyle/>
          <a:p>
            <a:pPr algn="ctr" rtl="0">
              <a:defRPr>
                <a:solidFill>
                  <a:srgbClr val="012B22"/>
                </a:solidFill>
              </a:defRPr>
            </a:pPr>
            <a:r>
              <a:rPr lang="en-IN" sz="1400" b="0" i="0" u="none" strike="noStrike" baseline="0">
                <a:solidFill>
                  <a:srgbClr val="012B22"/>
                </a:solidFill>
                <a:latin typeface="Calibri" panose="020F0502020204030204"/>
                <a:ea typeface="Calibri" panose="020F0502020204030204" pitchFamily="34" charset="0"/>
                <a:cs typeface="Calibri" panose="020F0502020204030204" pitchFamily="34" charset="0"/>
              </a:rPr>
              <a:t>Customer Locations</a:t>
            </a:r>
            <a:endParaRPr lang="en-US" sz="1400" b="0" i="0" u="none" strike="noStrike" baseline="0">
              <a:solidFill>
                <a:srgbClr val="012B22"/>
              </a:solidFill>
              <a:latin typeface="Calibri" panose="020F0502020204030204"/>
            </a:endParaRPr>
          </a:p>
        </cx:rich>
      </cx:tx>
    </cx:title>
    <cx:plotArea>
      <cx:plotAreaRegion>
        <cx:series layoutId="regionMap" uniqueId="{00000000-1997-4D7D-AC79-921CD49D073A}">
          <cx:tx>
            <cx:txData>
              <cx:f>_xlchart.v5.14</cx:f>
              <cx:v>Sum of Qty</cx:v>
            </cx:txData>
          </cx:tx>
          <cx:spPr>
            <a:ln>
              <a:solidFill>
                <a:schemeClr val="accent6">
                  <a:lumMod val="75000"/>
                </a:schemeClr>
              </a:solidFill>
            </a:ln>
          </cx:spPr>
          <cx:dataId val="0"/>
          <cx:layoutPr>
            <cx:geography cultureLanguage="en-US" cultureRegion="IN" attribution="Powered by Bing">
              <cx:geoCache provider="{E9337A44-BEBE-4D9F-B70C-5C5E7DAFC167}">
                <cx:binary>3F3Zctw4sv0Vh58v1VgIApiYnogmWZtU2r20+4VRlsrcV3D/+psl2T0qFuWmbrgeblX3TIdNJpjk
ARKZJxPAvx/afz1E203xro2jRP3rof39vVeW2b9++009eNt4o85i/6FIVfqtPHtI49/Sb9/8h+1v
j8Wm8RP3N4Kw/tuDtynKbfv+P/+G1txtuk4fNqWfJrfVtujutqqKSvWTa6OX3m0eYz+xfVUW/kOJ
f39vbSL/W1ok/ub9/jXy+/t7X4V+l1bvrLRKyu79u21S+mX3ocu2v7/fa4i8f/fb8HkHur2LQP2y
egRhHZ9xipkgBpXPv/fvojRxv1/WMCFnBmUGQwb98dirTQySb9HpSaPN42OxVQpe7um/Iy3svQl8
kT8mfImH3RfZoeACIL+//5j45fbx3X25Kbfq/TtfpU+frOisdPe6H++fvs9v+zj+59+Dv4AvNvib
F1APP+8/XdpH85+Q3iTvzG2RbIpHP0l/Pd5UP8NIUCwoRU8/QHUPb8zPiNSR5HIA95sVewX08Xam
QD8ueWIdYL0Jt0eAXZ4hnWKO5HfYwU7swQ7DXGKGDcGNfdyn6jOO9p70BIz37j8xZC+3xQOYpid7
9CtNOOVnFBnSEIZ4tuBiiC060wWWHHP9acjjfYSn6zWO8UB+AsoDiRPD+RNMzlWxOQLQ+hkRYLwR
5eNAYwm2m2JkIOgCzy7C81z9BpXGMR42MAHkociJofxHBF7Q4zFQ5mcC6YKIHx4ZHw5nckY40bkB
NvwlyG/QaBzkYQMTQB6KnBjI641S2+TXj2QdLDJmupDk2QlDQy+MoDMDLuvCAPRfgjxdo3GMB/IT
IB5InBjCyyr+mkaP5VEw5sLAuk7Ao9r3tcAHNzBFMMZ/hFwvIX6LSuMgH7QwAeYDmRMDep2qd38k
7jbaql+PNURViBFChc5emZnFGdEp1cEHG3PB3qjcOOpjjUwAfkzsxLC/3yTl5p25Kb5ujuSX6QSB
qZb4GX0InfcGPPhlhhRUx9QYG/BvVm8c//FmJvSAccHT6wPvbH/rHoNTIWccM84kGUZeQKZggwpg
W77bhf3JHD78dJ1eBX3QxDTAB0InBvYsemenxebxGGCLM06kwcgPvnQ42MF1g/AM64IZY6b+TaqN
Y37YxATMD4VODPPLTeEfwVUHdkVyHUY3+g74cIwDc8aATwXrPwi6Jys0jvK++ASE9wVODN3nOcqK
jjOBA4MGvhlwo68xaPhMCIF1prMDCw6exWS1xpEee7cJeI+JnRrqVVluiyP46/IMU0IIJt89toNB
jc8MwiB4kwM6/H6yRq9gvS8/BeZ9iVNDOI02R8lzQcAF+AnOvyc8gPTe88nBbCNdCob0IcKTNXoF
4X35KQjvS5wYwlYK+dkdT6p2lvJX56+pOEMYrDZ9jRMHnDEFZ4zjwfT8Vr3G0R5tZQLmo3InhvyX
6usxEAfbDeQpg4TWM3l6kMrEZwzSmEIfVixM1Wcc6T3pCQjv3X9iyN5vHgpIfyTlcQIsxg0JYxY9
kyUH+Q98psvdP3Q0nfk23caxHmljAuIjUqeGu78tjsKgyTOIlikQ4s+QjuVD4CJwbDBh736DFPb9
ZL1ewXtffgrW+xInhrO9jd5dpVDz9usn7F3BGdM5J7tZe/c7GN6Q5YZaFUhvDvKbb1JqHOfDJiZA
fSh0YmjvaMhLqJc7hjHnUHoCaMsfBOgB2pDMJhBZS304pN+i1Djah+81Ae1DoRNDe0cTZana/Pqh
DVQZgE04VJM+e2bDmAvyINLQuSBQh/b02ydT3qLZOOIHLUwA/EDmxPDedeh5sUkefPWQ/vjgv6By
GNDmAiEOxNgzmAdEODmDtBjUFlO48jLBvafRlG44DvZ4MxMQHxc8NdjTJI2PMcjFmU6lITkM4qff
QenKUzbM0MEUDGCfrNEreO/LTwF6X+LEEJ5DNf1RqDNjtyTAgAj79XQ2Fwz+wQM2fLpG4wgP5Ccg
PJA4MYQvof9OsY9vW/IBlBlhDGqTftjtoU+2KyMlYNVhlt4fwVP1GUd3T3oCtnv3nxiyi2ibHCNZ
CXE0QUCNHdacAQ0qBeaUDaKqyZqMg7ovPgHVfYETg/UClowdo7zMOKMEQmb9R3nZ0NXaFRjBNUhn
wVh+6WpNVmgc3X3xCejuC5waurAu6wjmmJ1RDlQm05/rRXbc1l6mCsDdpTggYTkEd6I+r2D7UnoK
tC/vPzFkYblg4qtoUx1j8HIYmwgMr/Ha0it8htCuOpQPMlRv02oc5ZE2JmA9InViiF9uk8f04ThL
LHcJqh2xyfE4DUIoMJzcoHTHfb601m9SahzvwyYmwH0odGJo7yL+deWrd9dffZUdw6dmsDSLGBhW
bLyCOSzoAPuOMRn41P8H1caRf62hCfi/JnpiveBLGh0DenFmcA4ENoJoeG/iJpDq4FDyD4s99sf5
VEXGgd6TnoDu3v0nBumdX28L5T8eIVFF6ZkUiFH63S079MugapBzBD73YEi/SalxjA+bmAD0odCJ
oX0NNLZ7HKhh7YYuhLGbt+E3LAeEOn7BKJLGMPE8XaNxnAfyE0AeSJwYwjfR5uEoBZ/iDPisHcby
FdYanHAOOyQg8twDBkN6ul7jOA/kJ+A8kDgxnD9svc0xshOwsBZzcLTYj8LeIVMC5YAEFmLpBn7O
UQ5m5ul6jeM8kJ+A80DixHC+9zbqGGWfgDPjUOAn6GtFgOQM1l0hAU75vu81XaNxhAfyExAeSJwa
whBanaebvDrW4htYeqMTSCQ//Q6SjRh2vABeVMrxurC3KfcK4iONTIF9ROzEsL9MgUP59YwolIjp
Ekngs78vlz1YQA+jXydMB050f3BPVmgc6X3xCRjvC5wYun/EsIDyGItvxBkstjIQFHsOA2ZYOskJ
bGGDnr20weQ8XaFxeAfyE/AdSJwYwB8qWE53jHAK0lUU7Rys7872SEaDyN2COjYYv9M1Gkd4ID8B
4YHEiSFspVF1lEo/qBBAklADP0+76GANBqyugp2qDDlcMDldo3GEB/ITEB5InBjCV5vsOEVeBCq8
dEgov+J3QRgF2xMhKPXcn4Gn6jOO7p70BGz37j8xZFdxti38TfTr/SsKFXqwVwXb0R2jXjVmsByD
QQEYzNK732Aefotm4zgftDAB6wOZE8P7cvO4PcraGgOKrgnU/cAWBj/Q3E9ToDPY3BfKNfGA9Jqu
0TjKA/kJGA8kTgxhSLPtuJCi6o8wpgFlDrwW+hEzDSns3XpnKOoDn2xIiLxJq3GkR95sAtojUieG
uLlbu38EsKHMDwONCTVDz2z1AdiwBBbqiSDbPDDdkxUax3lffALE+wInhi4UqMLuFNvuCAAbkFOG
rDJFrxXZw/4UzAACdLgJ6Ft0Gsf4oIUJMB/InBjSN1EFJwUcAWdYEEUNDptJfS+1H5Ziw2ZSUFIC
VBgdlNpP12gc5YH8BIwHEieG8IcKQuU4OYaxhg2kBGypDyT1q/4XrHzGWJADNmS6TuMoH7zVBJwP
ZE4M6T+izD8KzlAHBMMUKJFXJmWo4+Xwg6UXg4VR0zUaR3kgPwHjgcSJIXy1rTePx2BFgPUyCIcN
2L9HUiPZKAQlgNABBj72dI3GER7IT0B4IHFiCO8KFs0tHPVyjHo+A2p9YO8oCJn/LgXZj5chPYUI
gq2dByi/TatxpEfamID2iNSJIb5KuiNhjQgsmYL6zeffICOFBSybkoYByYp9nnOqPuMo70lPwHfv
/hNDFs692kAR51Hc6x16BuzyB2WaT7+DNAVUZcM2QxBKD4bym5Qax/iwiQlAHwqdGNofYJNWOLns
14dSUBHEYYUUVIt8Lxo4CKXghCNgTGAP7gEn8gaVxpEeNjAB56HI/wOUf67i3jvvzjj744e9HNlq
4o1n1MFOE1DsYRiwvfp4BLVb/ohhQwLYF+6HFX+5rAYG1d8n6z3//ZhO49i+lN17x+dX/PlHOc7p
c6+fTPf3QX/2ptzMno4IfHE43c+vPr0+nG04EP2+Pmnsg32/tHr8/T0DV+kFqLs29hY2vfyKzwj8
V2oLFYK/v9cwhlMxdgcoINj4icHuAtBgs32+RHTwuMDnhnV0AnrBbqugBHan8uD4QmC18W4pO9pB
D3tKwTSt0mp3CbJcULwPmw/BtmFQJggLKP8+v/EmjTo3Tf7+IN///C6p4pvUT0r1+3sMz8ieb3tS
FTEJJaNwPpoBpByFgjTgY7KHzd1uwS/c/T9lT9Msr6r2KmmonNWN42VmSgMeWiFv6ltDY9150NZJ
OEMoLL+UqV5/DHXV5qaSSf75xdcb0waM2VAbOKMP5jU40gvOCtqZtJfa6EmXhdKr6iuSJ/jKDfvE
MSueGp7V1mUqzbrRqy+8zjTfLGJR5lYeFKFrOr3iugWV0smjLEt0DW14lU2iCH/smSbwojOYs8Wd
htv5zzUmEOMeaAycJhx5IxmHo0/QQGOfe4BtV17RlrmubbR99LGGDVrpvORdysy6a3Fg+9wRZs+N
zje7ENFFXBcdtos6LR+9Vils+VrGbAWHc9ZmGXuoNnnBQnfmpoF3E1byPFbSUza4A/KT8vKLMGpY
O/OVZlz6hVfHi5+/1SEMUDOOIJkKu5XBRv9PL/2iU/BOcxsti9RVUjryU+oKTEw9JNA1sqRqb5q2
kPeZg6M/f/7YXV972RfhFBHYzpRTcFxgV3JCd2q9eCxDratnyk2uEtHjKxx61VWiCssXjvfp50+C
4XPwJAnBDoeTiGDDTTHoZ1mid31eeOmVyJC+yZu0iBZOKTpihpk3Q3kV9RZFnUitgLIm/qdOs+sU
+y8KHQX8cx0cNDgxZ/h4IMh9z01i/4rnIdvEQcU2YbTTgfWxmhlFmpodAugXTZQ3xMzDlG/LSKpV
Izt93Rq0QBZtgjS0Ap7EH2mREWp7ouu2mVZnNtL6mFtMpnqxZNToK/PnX2+3H8pQf74zG1AIAwd2
QZCxDxQyKpYw5miXuHLijV+UyjWxFpaJbtKuS9zzxvPDr66Q2brtc29upHrrWwTX/FvJ+z61Os/l
lp4G9dYvKH+sWebx858rqbMDkKlOoRPt/CZYuMo40Bovu5NRCB8VXkkvAz3PHCnsUnr9oi1bKudl
XVVW0eboto47Vpme53GrwMlCkSJbRHpGrDDK47ssYnFr8qhxPzdBnK46VZZmxvLso6FCYTt54lhV
GgS+6Zc0aEwnUMlVk2nqOtd6OnNdLANT650ktkjtxUtmlNEdCdwbt0toa0YVz69KJ/9QklijtlET
+JB+R8A26FXfm6gRwTrymPjioEo/9wyB173b1tJqkKfHUCPU+StNFF1sNp3obdwwze6D9iFTeXlf
IY17ZhOXfO6ovFrpDiEfcg834cLhGvbN3gudr1C2WNSmn+TaX1XMYzvLFFmFaZKtcC6jR7/ODBj3
NA7vfem03Kxz3T0vnKKyOvgOC6wTeZ03cTvTmyKfY9ziehbBvsWuVTeuyK2aeM4sVrSwq0xee47m
IhvjtFzCVEMaK0GBYYqSR3+2MfIuSCGze0ZLtqhkoJG5MuJ+I4y0mCnUBv28DoU719oWbYiKmm/K
zTJm9aRElZm4pHbnbRmkMDiaZta5dSXmRep4dlTSeJnArSZs5Fak8KHjmpuBCgLN4k7DTZ6ytjf1
MnIsWmpJvCiMcObqVYduG4p1OO+4QJEZQE8q57RspFq0lLdrI+z7yLmtmryMY7Pzoy4pHj3HI6T/
ohqt5bFnygJMefpAujgoaQGZxarK0FUZlnHYnks/7xe1rEpnFRe+n5kBidJ7xDW6CjpKK6sCDByz
y5FsAa5YCDtxHJgPyyhs8pkRNi6yiqjEzrWXI4Ony7DjjWd3bSTLtaFKCj2qcVKsGquCuXBuaF7g
XNcwdAzXykUmoMPRUMXzJPILaUY5TF7OrK19w9Ic8FyZ2Tko0WEbbCeOLU9WjTNvIh7FM+WAVzBn
iRv3lugZWMyEhHplxV6hRWatOlfdKF+L41nq+uKbVtXcRzZKSbnwdVGJK6Y5rnOeUF5yFlhJq/K+
Wyqo6Si8WeZ6PJ45qu7zuSxU4s+7yIi7JVIqzixGusi3eMu6aFH4ua9ZACv5rGVxj21Y+RjGNvwP
addRgDQFnzxJPgdxLOMVLWQZzUKvNO76qqR0HmgpwRde4ymemNwjXrlwijpL7mEypueB25NwXmWg
wSwtI7efCdz20hJBlzWXseiga2swVArbwbg6Lyhjke061K1sntQAp88V+CdJH9B+G4WwAZktQIHY
pl3s5SuMfH3p+jw0LBKGObX91HfsvnJCZmpNkcmbwGkC3aJ+HvRmnAW9doGcSJ/jzHEZqCt5NsOd
16crz8eNOwul7jXm7j4TS18m0H1cmltt42u9Wba+9lcBhFSnmT6MI3KF+8TvfVPUukY/dFFDqisj
k11qJzIvL1mVwJTkKh6CgIwpfC3H93DypcdR4p3nXRy1c9Ww3r/ApVt+0APCNqx1YscUGDrvvEpa
TmfK6H1QvsJBbEc0D5UlGmfmYz//EjUNeBaBG9T3ihnN16zw6LLmjevMRMgQMRPhQDssSoN2nhQ1
vurbjOq3qmT4Ay41uKMxNCWsEne8ndUkDvxl0RLSrBLuKnLta1x+SlC+65xBkKsFj5SnbtpOL4WF
8gaw8ZoEFEsVGN0LmMHkJyoQ9O4YrGRhw/GzbboqlXTITVBUYXhHRCL1VasHTXVZtuXO+fS69oaF
mtHO0iaGR6dp39dmS+KyX6CQ715+p3oD9gn0ymJ8pbME3qLKGXwqL0zD3pJhDUMni9zQv00KDkO+
qMArcOEa2FRSJt51jvWuSEyaeQjgboq2uow1L1Omj6q8nbeQc6ezrs7JzmjAYLLgjcCAtBLv/OQy
iT85cPjPuah9X5jCYyH0i841Nk1CQY22CLo7WrZIXbjg5gYXaZaEwb2A2WKhEoSvcunmX4BANnLT
0z2fnKfCldWF46VubXcFzxtwcDu6yAh8VgvxvHsIo5DdtJVC6TJHXR1+bozYVcvY0eJvXS93NsTP
I8+GOEDQmU86T80zI5afNeTE87jJ3NzkOpi5rmi8Oz8t1YWMw4DZjBTEBbMHG/KatUfkpyLQancW
kQSGSa85VK70JMX5NgaD3J3D/lEwNpqdxZ4FTIMv2tZ9PYNJpskvcFERw3JkVNYw09IageudB38V
spYftA7c9PNelgV+LFXSKTPGmNcrvyHQVBtjr7f0xjXcVQawNJYWSmPep3VdXrYdj+6DWuWm4Gqp
x23Nln1jADghwqpfZFGYppeJ0eprrUR6OvPyJK4v3K7JPEswFXsfwBNRj0gmYEbAdKraDD3VKFM2
tchhFujy+8jNsf8nTnsqarMHD6z7mJVUk9CYcoqZx7XQPdecrPnquUirrYgrI1z5EuHbVmlOvyiq
XPkzv6+gk/qkDOhNG0Y9u4qNLIrMPKuRcaljT2+tDrwbNWu8DFBrROK7ZtHzGGyHUtEMt7Qt7Doi
olj0IofeH+qty+3O6ZCynEwZ+eeGdfhD4BXQ12Cmk5+gr8fqJpEJBgNLMhnMRewZjdlWX4ioGoHN
MKz5R0aSvLEb5pb6pe5Eor7LHSULmNyhR88ynwKaEDh07dqnZZiueZF59Ia0KDJWTptKeK+21dzL
sNCyxo6VAzYDvLGqvIwiB/QvZOjOlSdCz25ahFZdrsO47wyD+6buePzyySv9zl3cPDv5zwH4Q5p1
he965eCP//mQxvDvv3cyf9/zRFP890+X/kORqvRb+dO7Ftt0dw6yGt601zI8/bt2O/pi7w8HVMor
ZMndVlVR+crF15mUv0uod0wDlORSBpzGCyf+gE55cWTjD5ZtX/RvTmW39xDkm5/8e4p0aPUHpwKZ
DahJgCJgTiFwhcD0b04FDrOEUgQCOQ8JW7KjJybmv5wKHHOFYX0tg/pwAefFv4VTGYmOEAIyAHZR
gHJkvts/42XcEcCAF00ig6sqnvWMwwSx0P+JKYFdWA5jMPiiBM7ogjVjcBDfIFjOHT+KWM+CqzIN
/MhOBUp2vmYnLIeScBZQiJxTmALW3BXgB2ReYEW9cwGDNLhDmXcb+WJBmOevG4QqG2GNWVhUkRlh
H1nI9VYNiVdV7V36tVxmFV6jvrmFWfIy79OLtqDXfuGeoyDszLh2XTNAuZzzLvJMp2IdGBP5iFvw
RcAPg4tlCLFOVH3zWVuYKjGM0CycSkrTAfmWa9IEmsQxzhuIXBdO03K71FRnBpJ4YBD6NDdhagZH
l+ifwLhzmMYZ/QtCJmVqQCUsfBR6xsyr8iyapV0efk5T3NmdCFG3dGXmBCtMkxLmCiqujE517YJX
YWC2hvA8s6QZFZ96kht2lBNwKLXeYAucNhC6WhkcfMpzq2Jx2Tkmapl2LXKiXUL7ma381Ay1trpI
tWQhUt23jcopTOmRyC648Jc00sPzqs0NcQPPU/Qv1rlcXZAurVPb7ehdCjRPe+PhIDNzt5MXsjD4
ee1W7pddnvZzzT3XFFHX3+tlUukrkYassIBnbPql8GrHsFCj5Mc0FdQ0Ej2baRXSbZK1nhVVYWPl
rtutasLqK1lVfFbCN18nQJZtlOdetF3twmcXxJQ5BJEkxjPY+ck33ahu7vq6Og9QF81kiuWd2zFs
loHn26KT3jzNYmS1oW7XKbZ57n8WMavXAF1tG7nfz4oyIbYiBjLbqPXPgYDwZrzs+kVZRthKpKNf
Ka8mNYQ1amHQetnoCbe9lqhbNwvwTGjxpZ9ElzW43XOYLG71lK2EVwW2Y0RLYDpD26XoRsnmvoTp
+KNbt+JbilpTBaFtNK3xLfUrm8XKDp0cf0BaNXeNcq6RNJxJLZ6HQplBC5GPMrJHpUrIyEM5ZNB9
ygPNLmh9Ltt4DgYEnI9+obfoshO1TWW5xIys+8Kz3aL+ilh1mcfaPGrwjBY5+GvdQ1L1pps+QKyO
7caI6KIFL9QOWf2FGf7XqDf0GdAG6ryEyBgc/H5NYrKiLrk0sspuqvALsFHAAtLITgSfObUxd4lY
Vqj/0jpq5sYOcEEoN6njZiYGr2wVMCAXIQCwGec38I53rKoSu/V71/YLR1l6jfxLTzdCy3PIbRkl
6hJC1QuXtNCZS7yI8haZocOhl8XdhYRBhFJuElnYrRBrkdG13qaftb60QsbvK+LeJnm25vDnmsh1
XNW3nvTPI5LNiBP4QHe0JulCbAZek1kV8FiWW6CrUAv/SkP8VxbG574KL9JInAcVvu0bbIPPZqdR
dMn0wMqjvLvoOV8Cv+uBi9o95CFfVpLZssh802tbs+ubc5H23Srvk+S8FOlj3Dnc1Lwksjs3SmzW
0nCRy2zhKKzd9Z2W/wN5h3clikP2a8fewZEdAsFVMbDvXodj1RmRf5XmIZnVkexmvO5CO47raF3G
tLF57czd1Ith7Ue/xVmubvM8RB9ELyIzbdu7qgjWqHXsUPLPqC0XuWd8A2/bBe6lKGZu4CDT6NA8
7aFPR45vpQ5TVhMIYCjymthclMs6Tb8WvK8sP1CfCPfyWY1LamEUpmaUWE1uqXaFs5CbpZMscFAs
iF7fRCRdqJg/dlF8X/HgHCLNi15F53lF1jxL10IRuSgbiABV5y9J6zFL1b5lOFo69/Rg4TLEbYXU
nd5V2Mo84xx5EsY1ddHaKXFpBkX7MfBrHXiWKoe+QK51v0+s3DA6q/XDyzrrrzwVrMKGLVhT+rYf
5SsnCaVZicI34x25UwYz5mZr8A+BBk8giIuaCyhyXMK8VpigZQ/zmpqnQXEdBtEdnH/omnVSR7aR
aL5FM2Q6RXHjU1XbcS8TsyiCj3qn56bb+huJ+AUwWr7ZQgcVRT+HsPsxzNECZzEzdfwliDs7poYF
SwCXDdghqmCxuORrlAMp70rt0cFGb0KQYxqVas0wivFKy3a2rFz73PiToGiOINgxhRZ+6WKCrUB1
4Uz33GvaM2wnHgHHMgvEEoLV6lNKaXPh+3lxGUHwuHrhPX33NV8md4a5CSDTd8cSCA5r2iBjtNuW
b88R6Qtg6mugmZ3Kt2lwXpB/YoJ3RO9/iWxoknLIPFOo5DVgmyGxW7f+8gnALSdMSNe9igygOY1r
v/KXfnZXNAH0hMjyDWBvgtnP3woW3P7DU3fv/SJPUGVhmelU0y5Rl9zvzi83gXS+h1nxT1cH38OT
SWCVgn02HLqqqyS0aiAFYVQ0qYWIn1pJ0f+ZanztlzqyINKaR7LBX4WncztGwUdDxI3tht0Fj/Qv
hgMsHY6oUUFvStJZ1fNkJjItt3FWC4snXbeqgOb4miZBOdf7GAJZ33+IoK/OgJDzbLDAnV0KA1l1
Je8rPeoXYA8/Vm5NVrFLb7yufAy4XMKk9EEVxdzYxXiEBUuKPG0WIPBQoiZJFl1fISuPDd0uGuaZ
3G/viJfYie/XVk5dw2Syu4BO/y1XkDJQmb8qdG3ZNfqHtg8+6yg8Z2VamJAuc03foZEVlH4CnZit
wj64IA2ElJ1DbBohBBNMCFYWfa5RBzcH8aXw2kVSNLPa6aEHo1lYukAG0sxOg1iYWR8Iu4icyywX
lsv4EqcGcIJue+8ZAThwmfahKsPMpLREVs/LhZb5sYmrdGO4+WWB4ts8i60C6BRT4fOa1ZpZM7rk
iQCLiPHHpPOWrdO2dl1UV5kBc2SQsVVR6FuRo8pygM/Imb5wM33Nm8j6h+72T31854i/6G2NDi4G
6aG3Bevkxr3S5vlF/qlZ9Cu2NNYCph7rgTQmO8eXyV/Nxc8fvjtpe2SAcQob1xMoBNilo18+HGee
SEKha5eZzcxkTaxsXrUmvtA+8zmaoY/XmrX+XM8CZdYb+L/oqlsj89yfO1c0M+N/0GZ/4nse7RSB
ewkroCGMYoNcZ4eaWMc48K48dJPRCIinz0W9/Pkb79usw2cMMnN9EVea50UeTK5bt1jK7vbn7Y++
A+wAz7kAihs2H97/oHFr9BoCyvgq1W5yCeOBgc/5bKF+dZD//zB8h6/520seYK8aYr0JtyNxO8j8
iNthsR6s7sKGjqEgAgJkAPdH3A6bxyKpE9g6AfJNBtzx37gdVoVBHI+gEAYuQhkFNPgjbofadFhm
giBxDGnqp5D+h3bfp8ef1ULAvLU32hgE7bD6CM7cBL8OKnKACdjvHJICY4ryhF2HdeReaG6cO/dt
Gyb50iB+uGiAkDA7ru8SJ8x2IQBf6QVrLFZpbBk6kB6MOxJfNg2SoRlEAs3bqgtMHdIbJo3xWrAk
MJvAL8zQTc41GbBL3js5REloDswoM90ynMtebBkQh1A50Li248CUYhkQriVtcxEk0VwTtQfhdVDd
lbVakbo1/opacHNU4MlZg4NFBHRrT7NFQ9y7HCcQ2xtdD+FYUFtJXCxLSK1LJbfcqW59Kq77XKyA
xbj3hbbQUvWn5orsInHSi9yTq8LT/RWWzZ9R6VpC8+5jwj5CNqc1wSfwoCaAZvdYuV+grHhFRQbT
lfOFStiQ2qPYBC7agbi9BgLZA3/eB7IWcgi1VRTZLuEmL3LqAVNYkItQRVc5EBMmD1wIqvQNpG2v
yz75VsKHNmWZWn3aNJCJys5jHnIrhuwhg4Qu6noTdo/npuwTSH6Q4CPPKGSAeHfeO9qfovBuYQJ0
LK8MVpWbQJDNVT+TnWemImnNDCgHK2jSJcx+X8LOXYSpllqMglvodpAycDPvQUGphtVlmNkJ7haG
BtGOK6GAA7InSaYTuymBwPaL4lPmeDoEgt8q8NyXRmjImePmoekySPlw/E1rlW9Bte51HoFj3Pt+
YtU8/yAKoa01GS0hsL+NgByXNSRj9RoKD8rsf9k7s+66bWwJ/yJmcQCnx8vhjDo6mizbeuGyJRkE
QRIgAZAgf/0tOu3ESbqzVt7z1mlHka1jAntXfVWEh097nlmXLi9Lv54SSt7iUAVlMzVpDtn3Mxnl
KaTkxbrr/ZA4T9PofZ4lNAhQRt/ijiw7MfO0lKq57eLlwJVNs5F4Km/M/G6TVGSOF9K8lnTX+OZ1
qcc5C8JgF0/8FdoRfr0Z5bjzWaS+TgAqbmwY1i3MHEv3Gj0oLZTZhezx548O3eLZPqtCZtJ86sYF
m0cSO2OGOwOflB/3aTlU+GK+/cRhPHGMIbrgwL12KY7kBVqQQ/Ne1vVhmdzriofhfkmaGONSMt9L
okIM7f4pCJogJzTNggFfszLpXBtKgyy2roCkP8040oeAZ9xb3JIEzB672AmzcBDslCR23cdTOJeC
MZ0tNdZwd5p2s+5eE5deh4mKDIfUJTAD3MA0vV9UTAvVNrdDhKXB9z7OSbg8jpDaP/deE2T+ABE7
8GzhVaMsE4gc2RgFvMTokk0ErIDtZZAFHp5ZSJL4e+OnDqxBd828GZhTR0hpKcCm2Fku3J9g4PV+
ZoCmZKaFfuIz9XU0zt4LpA/1ajz2kQkyoBAnB5LgyaNtUghIJhlsqfHFjweShX0yl5guo4ywQWd9
HbcF60a5A9DT5ate3dfB8z/BDq12KYTKch7nZN+vEOY4b8O96LTIlNO4+4kPIvP87fOtoi5bSXUe
0noP0+6W4YnK5xUaUTre1zP+1K4T7jwqzjD+9qyrdCnSFirLOl7QF57kto4x/yUGn9Da5lLxHeSk
Zdf13X0dMsy0GIFzkYTnhBoY1tLds5B/dqdxbxz1uPJpgn44dnDrxhKOwUWZke4W09U5i8d9JeUB
69g3GsDrD3F5FNKBhuLxNvMvie2eOtW0N2k93fX4iWZQ6tKyE+GY0cE9hI3+uET9bibybKrk3cIQ
zlrRnTSfbUk9iIURefx+Mf47IWyNOf97QoDTrv/LiLB90W8jwlZYCiYWaaTtTfZR9NOIACgSLGyM
wtNfxf3fRoStHhNvhwHpgxqAKMb/+H1EQLgJ7A8gyjAMoF+m5J9I+wHoyp8H8m1E2LZqwJeAspF9
3H5/Pw/kk7QKyEMdXJXF8rja6ThDWyhwFgR48oedCLBkj3r5GPtrUChKXscgudEp9KFwczUbW5G9
HuuznoWb9W5/waM2ZskKBdCq6daOkSpIOopcCPN1SfvPNaMlrPYHDv2lX/QJHsfDICU27GExWSp9
lY2ef9N3gAaoE39QPBV5m3YafmP1YRXNxxAwRQZX2uaR7a4hDa7eHJXpIE4x1BcersFxnaoxN9xP
8gmrHsDL0k/kNyLrBzPT8NTTag+362uCIzdV67NVHaRvqJcZvAaeRaTri0BWuWuFyWNZP8+eeeF2
InnN64NvRJ9JFeMuqEHA6En3OZPBLe+GU8sxU83j+G2Yai+zjtD52ibX7cTKZzpcm3CSJ9thMDKs
okXcCRzt9Ujz1KXVrYqEWwBKWaNsIOu3xJ/47UTi15Xhhyurrr73YUFmtRrfa+2ml0a0xzB1YAH6
ctnXvUquitmujOMZn5qpSTZSTDq8szOwBBgqU+NFezZZmkUjHFwCQffepYG3X2VDodkzXIZ9QDMA
RyJjXUBLiObY3QPblg5j/r6pN5RwBRgXWRjXrhDwvyuv8OzigjNTbEdcWe3IHLTl2Gl/r0XQlX3Q
3Hj9cF51c+W9d9QLXXGKJ9+qFbRUg5u9dBQLigXzZelV8bLnhral29RYhYkHQXIcIOQ1EbwXO5p9
6sM+7ugINhDgxUM/x8neyLAuUaXTHFy3qoppaoNMBYFz3yILmHUr/qSDjaKMRW60S6ij82aZk2wR
2Jcc4By4Ljg7hUrNe+rXT4uv7oxx+7J2kiUTWn4VrQKcUEdAiIaUnGSqgox6GwK7bj8i5mNfVmHz
oQe7kimoNofFgPf1cSFC9ey9a5jA/qjlWsHDhUQdjI45JDOM2XomMwgbw954x+LMbeKqnGjnHFzd
7EzYllXVpwDfAK51aT9moJ26LCGNyZxmhlQhuzaPpia6Xz1731jzEM0dLzEieyxv/fYW9BsGTD58
0/36VePy3mnpmaxN2/HCYHbngYVZNA7RMVrm6iZy4mmfVD158B3zzFKhncLVxlb72reelzEjX2f8
ruLV4XADmzZTST3sHbY8ec7s7WxN4eRM6anv/Kic58XL0skc0YG2ZBK8JGAvWrK+d04OcQ8sCD5M
qtG5ovVTNzSnuOnv5ljljhNfVPhSxf7ZiGj6tPD2fY70jSWOk/UjnIJkNvONAel0SFMoYmzEEEa5
e+Pju9WyPk8T+TYADMq9tb24s+tlUxo/rwm4TtasSaZV96ZiwJ5gwY6iWe7Bz9+YkAFErKeg6LtE
7DnzAL9MdVjYRdhsYnEMVrs79sqXeayCcLcs+Ai9obsahz62tnpxhfksCY6HxJVTEfPxzGbvi+VR
VCoegCNUgu484+09FgCGJWM5NcrP4tXrslZNF0wxH00UukXskLvUxkkmurg/JmGIf1O7TWZ4O+VS
i7Np3AMYAszepNo1rhiuLNXwGcGJZY5NC23xcsIK7mQ4sQIYX/SZV6YLS9HbS+/rV0HiY2/CT0AH
wiPrYHSM61cAj8D6hD3gD93uah8oYuetRRvFt3WDUyYVTuaPc85TR2SwzA7OEEGYG4rGZ1BN2XwP
gP+m9VUAKav9qpMU0ldw61G5d8iwp8D58JnmtvXwz+GXOmEsV8x8Uyy+Ax+sy0ksR92RujRxmzuE
3wPBcnAXmLwNlnOt2/sOU6fH6qcWTHkd9YfYwCoxHXtqmc7Bv4xZX6k465b1UAExZW2euFC3Vern
ge++V6ZfMtxjzrJXia+SO9bxNqdR/+Bi9C//nY2+ww/bi7//92x0eR9f39/+qp98f134l/8ERlBp
tb0IL4TrhFb/GP/B3/QTNAYDZgfnnEILwYT023CEmFEUYAnGaxG3EiVsbb8PR3glJgGnAMkjQLj7
Hw5HmM7+PBwhlhL52OdAU/ggNP4kEAaOPwM24/zquUSPp1Qz6eZs6ojzEdZ1PJddNHYL8LRmuPdi
XhggBlD8DvZ4dCtMN73A0Q4gUCfPgOpAHbPpyQvIeHZtK+pPFW1sFmmsxAuYiBwwz3XhvCnCBsOO
9EMYDnP3IPhytU47ZWgC/IIHJ8zDkZ+lu96BtoJwXo3PFn69DMW6M4l9Xt35LZLxgwwE/gPBKg/U
hrvJJOJAVHqvafNtEqNfdk0XZdpzo1LOmn+oaHfnkACHs7vAHrXeNRHV/dw1ENWB6x5ohHvLjslh
irC7dXw+VJH/mUiYmLNYDI4wLEJCDFOZwvs8ALCG2Q5qIA9FFZXdUH8yfNBFH0qOeazi2SpdbxfA
6MyMEzgQkiJdH2pVURegFt6QmPlYIqElOe2hrl1ZYl4M98rz2jMkLfoAytZ+jKaRZiLu1kxZFl5Z
4vs59Zh3uyzkNFji39W9AP6pFvhbA5T6EfbirhYg3bKpw7f2m+RjBTj00PvBWkAvgPE1eRZsKa/U
qfHG/r4CV3tO5EjAPaaLovg99AM7kdiJvGPKlcN3/swhb8Xc++oNASmMcbJ4aJpLPZkMK1hTaI5V
Dwt2Rui6c8PunmDRnMEr4kYJRv7eCvNxUPxGuC4tunjet5rzHB0VlzF1LgpOf1Z3rAhl+2Dr/iT9
8bPv8JtmBrEx+N1TQOu51HXySuRw59P4tu+s0dCJYn4XNgvzSwhVAUSTsG7WC9pC+8zlc8llE+UB
maojX+qj6SowJBVmWxv5Sdmt9HUFaZtVGPIymWLYF5hi4cv0dQ6d8DXEYZmFcGJy62tVBLUtjacx
0i4fKFIJxaL7sGDT1OTLAtEA0t+txmBSJG4oDhAjWeYmtLQM/yZUmaz20jJeQAtyN+yzNkw5MGwy
7ZeaTYVr3ds4nOHUjCEGLgnowHX1OWJ2ynXY+iVrlZO5nf8SWQ9DySIe59iyLF3mNK963AUDB07E
NvnNJWmm4vi9q+hbK5I2x9OV62aB2+s0d4iCQJmb/NJzTZxjZAHv7Y1N1os53SX4q+96hBa9O2qo
maGmLHOoWGcMFLHgp15p8fTv/YH7Y0vy/9398X8tUMC3L3++QH79sp+2a4KsHxA4+LUE5u1PFwi0
+RgusRvgRsd9gV/6TxgRF8j2GQNnI1sT3x8E+PgX1IIECTZ27OUkxWX1DwR4sLJ/vkC2RR0PCxo6
UY2fbgbBz9t1YumQGpA+14ZpeUralFzG3p6Tvh2gso/PUdcVA2iyQy/idn2vhRqce7Ms2DBWloPN
b+/TWvaZ5gsObnIS2FN3Q6swb67w5HHiOHvWAk/AZrujfALlNsCTpLIiGXxXWufpNIA5imVrHhcq
P6f1Ao0UHkQWA59vcmzb5DRZZz2Fsrd1lS/Jwk6m5cXiV85BO+M3mvYr8nxutV88gWSRx1OM8nR6
luiOPkNK5Zck6BGcYY/SBDVUww6sh/QSBn/TwRA7pUBiAqgHbcv8zI/AN4xeeubxqMuBenmofb0L
rbxNQujnUyDS3dSuNnMqDR6/7ufDOKtbT6k01/3weZzpzeLNZe0uha/8i0voeV41wLdGGmiwOOqb
JMlno0zZ4xPOaOVoLJCafqtmEb0sawOcZQgHaJJIluVJrbxDOpqHmgePSeP25iij2tH3DOf8IRxk
3oNnOQzhovrHCFv3mNWmiqcsiCF9BN48NVlYhd8wWc9Htgizh0XPi7Xr75ZG3UZEnnr4f4PrnxPt
7ISaT04XFWIFpwtV1m3WPGTybe79B6bTz/8eHt+Hzw3N+N/D5xkvQf3zyQFaF1/z4+TAq6IivPAN
oEcMu2KbFH8fPaG+pTgZMJn6aO7bptIfJ0eIRt4E4bvtjSWYV38ePckvW3Y5cXEpo1sKVRX/5OT4
nuX7HUSBLJdG6BrDG65AFcYevMU/HhyxJ6kLGl/fxthPMz4BTgVABg4TkngKyT/5gkFp3g2b5uHh
bzRxEKlNzJIWMby0z8xHkhHZNGGGI8GrFjsYJA1uT+mEJr6TZBznu36WtzLg7MkZZz/N6mCNd41a
1X3S1s1LABj3HmEDupdu5XslTWdRLbgFW1b4ZIWCMChFiwEA7BbEc7omKD2k3tRnUO8NZl3brr5d
i8BEiqmd31vmnbpuXsUjXReOY2uoGr/Ugo77FLgVIsU93SMVHRWjmJs92P+hnIfKg2wfeQg7IFfm
8mh8XqfaeAeeLtFaBsosFCdVutqyNUE0XGRcOWsJdNRRR1eu0cUsqhaF9EX0yKJou8dj2ZQRsg9A
pGquH3nQjmmJp7S9Wj+q/f0Q458R9hKf1pkg7SgHypsxs7WIj0MLQ/Xf/fBXOH4DDf/3I7p1IRXs
nYq/PqffSxT/syJ60S/u9oKgbU10EWz+aUXEIxymwLECoO/JBsf//pwGv+ARggeHQhnUAn1/un9Y
7FvdAIFHgxFgI+PDf4TGYzn70w2PV0IjlJvgrcAoDgQ8vf36TzQNa5pa1YhjXqCyw72ByIboWA71
hp86hsgPtKdpjTcP1JW+Leoe8LMRVUHrnt4Epom/8LrPA0SaqDu8NHHreXezpySEzmmRaCWY+vQK
f3g90cC07DjoxX+Clu+ER0+5I4JsqaOvXRVUJ75Eri6hXzfeI4vTlpxXurbqNe1pNF/GQIINgVK4
n6K+fa+mgRWiZ6bNDdKLzd5tEm+XDgmbHvSw6COBgONkKyK1a1m5i3lZCSBz7DW1e/ZNWp3HYYBr
2/dzXdY2HfJxwH1u3IWdQ41Ud1XBAgDxXqV4nXNfp0A9qxluJQFKxfva3NVI14Fze4k5fW2guJfI
ZXe5jMJ3qbv3CKC2xo42kDdglZBv+twfKPJmqxvuNHfMyxwBEpt8F+rRzEFvJikoPc108tFzmCxS
PlevlkXTQQW9f6ydqr5xIPEfuDfGCKobe1ylHPYkhDk9TqvGTtvbPEwkCC90Q0OyrC74cGURIVuH
YaoqEt2dEwM3IqzG+LKE4XrkBAkBhAPajMBKjNnQQXH3eRbA6UXG1MB1Bd0tk/Q9IbWzT6b1ADn6
GjQs2i/VrDNHddAsqxHzGrGfSE1A0c4IHIHs2ANVt7CgbK7hY9/ywOoc+JzN0za0xYiKnbIBqnl1
KeePzhwGDwgi9O+NS8ZTNzBERCeCtgE2vPXL1PzKTv3r+G2kzt+eWls3OF7I8pfNJES3ye/zBV4q
6+PgilHQj2Phu4P3m7SFlzK46EqAo40z47t+9WO+wPqRoC0Y72vA+2h/Vb1+nFuou4Os5aMny/3O
eSX/ZL4g3h+ZU5yOsOfj1MXShBcI/Nop//O5hTi7BwM6FFdk3CCDaIuDal6W0tq+2ywL7zhXfAe9
9dh3vS8zLP2fuzQ+dRPbIfK7xzt8b2NMF8gfXpFQLF0CIazFDnzTslhg3xmfF5d8QmWCWyQKG02C
IRxU+VM0VtfG1WCOOeWYJ5r43tJg3fJ3jXTLFmSpKJJt1few86/b8p9uMgBS6C2o/aSHyahhk0Mt
WDfZwKNL4UFHWCuBdX+TFswmMjhQG+wmOyyYjkA/qxCBDIgS0+R+AFlexM1SzptsoVPC8+i7lAFN
I9rEDbnJHMMmeJipFUjJbCJI37wigZyUyyaQwKjnWQvNZO1JdWw3GcVFY4DoHXfviqA9h6Ez3yBd
jEQQdCbIJc0HnA08cxBtz0faXAX8p02ZyeaV7HRk0EQ1RHnLhw9RTK9y8ACuBDPiCmzYBUNlsgpV
JUXvtLARiTvkSEYtGR/MBc6pzPki2t06OXuc8aew95+7ZnpImwq/77kJMwQTDnEwNChrYW+TF1xo
v96ufjflBsUpmWlGAFFOXhnsd5zJG1MnmHtcP80pN7mz4uARm2SnBBARiVglYg7RsdHRPa8AHwWz
mgt/peVAumQ3O+J18EGF+6669YO5JIOzF25303Xs6rXmHATrmHdEnQd0VeCbqruBRTpLOH407gQp
kYDTUT3NVWP2wxBc4rAGXwHbIR+mBo0AXl9w6ewRkr3jVqjLiks3C0cGxzeJHrCPX1LZinJcJpuT
jsQIo4OVCgSi4S3Rqmy4GwNCrkpF1ZNNbb2bmv5CSfWyDNOya50EKfEgKkLtPpMBt3IwxIXXNsUy
YDxNGL2ns3fj2a5Ad8XtoNK3MZpl0U0KP0MVHekAAxChqxtt1JV93+nF9/0eLQb8EGPnT7l85uCp
8mmdzoqt5NIbLk8N9j/B3Qcdjm+JXHClwmfGnkj7qJDYG1PsjyP2SIF9kglxstgvMZHfobiAF4Oq
zb7dltAI2+gaOQaW+hyAdvm+rZJ+Wh/9aL3QYcTs27J5RxFfy+YgwvclCPCO+zleVbnE9WFeg7sx
/KwcjwKOSj/0KRCShp5Hfws16PA41/A+5XpnVv9QTQyKWWjucdhl46wL3w8lfCBIY9VQ3QVKgxQM
4K8n+iwMewD9mFcLfVwlGJ1oBABUQ4rIfMSs8HHF/T6lXrAbUYmwC3i0bymjh6F1cCz5dYI8XIsy
AYO/Ob2EoNp7/mbudneJdT7FpP8mRvcNNBtHHUv7DIzuJvR4kNlBkiLc+Dx3RL4mbuTXxDjVTcoR
CLSImy2ue9eJDg9DPHhXuNfv2IdsiZDgu1EoG+gi+xDMizwG/fTiiW43EPfTwuJL0iITAOi+6Cye
l4QosreGfuxtanCT9zuZLPupEoUrx7uUQbyOmt2q5JSHQ3XbxFtkJOIH0S/pCUPdh8RUBb7zlAcp
efLgnuzrUKhiHTxZStvYcnD8i8VjcAfi8AGaxMG2hOV9O3WodYG8stFTDNRGFsa6wJ+VQTxSJEcx
x5d6kDzXi4bp0CLknAhoO68MVgEiWg8cPxPcA17uU+jiuk3u4N7vwOzjU5w4AX0AQ3NaZ0xbU7Ov
hyGG5Nki6KidN5CjZZLwoQhDempDCp8QM1Bk2HQmjteX+ECXQ+jbB4tYk9dJJM4E8wqTwLi1YOyR
laFHK2xeOQVPgnONeT83bfziqpUdcRwj60JAgxC7c+rh0WfVPlqXMad1ZCAgexjWqHpFoRPLHRXs
MRqt2TQMF6rARPm+fDShvSGuanInGCDPQLbm8nYWsj1Kb75SbR/cRZQI2i87CAZnMaQHB1b2U70u
Zjcb/52nwNQhGt93ddyUa7sGv2L5/85TG5H+d/PU6widt9f/bQ3EV/6QazBOQYxB+PgHNf2TXOP9
ksCkC3/8yk9yTYKuya2MzkdHCl5EufHPP8apBIV0GHtiOI/g9TCM/ZNxCm8y/dMaCIwqwbIJ980l
BOfbn0jroJl6tQo7Xy0w6ZwYJnfBVDelBKXcxVbvYBMBF7EhmT6jeOksQa7uI4xoWIuwwOA4VEXV
J94DpVHpJGEH77qPt7kEDSl6/RJW/orQqwYAMagybtDTIdvqMTBOdEFWrIZjEQw7aafhFiGBsqH1
s4YlNLtomsHUcsKzfCKj943b5Xmuu1NMOMjdsYg9/5CyusnSBtU+AH5k0bQ49NcFoU3rEpWjFANg
dBi9NzH5gHaSFz457/NUD0VcLV1u58Viiuvehg7ZGu46t9qdTAHjbMlmnH8gLqKvS014ASnOQ2PD
hK3O4NQzi3iuO3HvR7REHRI2ywWNIYPRUwlJyNALZcdIBg+Dii5BW72vLQqJ+rvIQ+0BLLPbfqum
sM3HboC15FevdR8+TWFVQ1D9tqB3DUk8/x5NUpg8zeoCp1EfMHP52WI0opxt3aJZqbUY84KhGKPl
saM6LHQ8k4NK3CYP2nosoQXH2SrImnc4ZHJVNWnp6A1o0/TAa4L+DCfYw+5rHkKv9QuLsqOsWUiD
0qtwKkLhBJdx4Ax0+DzlPPHkaXXGB6Es9kVHuHtj1RG6JUNKF9gwMU14MBXYuuce5Bu9+GrtPjYq
RJ687WCK5u205jaI5myybC6RVfuGHr2DradrrUeeB53S8UVXKHh5GdFj89a1InaK1GvTAyNetQtV
5F1jl9lcranJqb/ggiKzuHSrzz4kc/I8amYPQZS+cHBkOWA1dp1RhFM40oCbXpKntJ+PQRdi0qww
bqA65zB63gfHgAEz7hyUtlr7/YRymIeOdEMWK7+/qj4tBhc/S+S5LhYWBPJTLM7ByIALH1p7hxIf
VaIlQz7RYfqqgN+fY+DDOeJW79LDyrsS0M8s9W4duNI6c3Ead07o5XGqzWFESv3gj1H7OERDe51E
3D9xf9EIW7EaaIx8EokutI6gZxgs+ph7DjaC7W4qp0EjnhGZFst11mmFC2K0ecdFWobMn88aVS67
BbzwSS/uF1vJfKjn52QhMg96F1wYAt4FJemCnYk4R8dJ5xcA4TMqkoaqYInu91YK/sqDUB1aMwOV
H5ITn2vQNatOEC3HclOMq6wyLJLjVs5V3dQ0SC7JtAAHjNMsbZ0ljwUkjaabRvTiJLbQPpLPTrJi
TvY4Es8o+/pXlfyPKvm3ruOmSl6+6Pf/dh3hC3+7joDuwgeIAOcSdJpufO5P2z3eag+/ERTK91DQ
76pk/MvWqIka1BDv60POGl/14zqKf/Gg80Pj9IDoRu4/K+z462WE+k68Uh3vkoMG6rt/ch2VmQ2C
lct8dcXdSEm5NHHx0yX9X5K4+J3+HOMLYcGgJBQqwnbtguf403UXzTEPTGzMVZHmxOJnx72m4b0i
B6+6m6db5f36txGNMaiy/S/fb7NP/v47br+jn3RW3yYjw2EDJ1WCrkhQl4PRUwm/wyMo1P08iuQ0
6VDeRjysUISwixoYCENlq7DUaAzEldhHLxjR/WO0rQHLthB4SiDMkNQ3IXaFflsaJLaHyeHfUmwT
PbYKsa0XscCJ3tARK8e2fATbGjJuC0m3rSYEO4ralhW8USTYUcnEvlosiOBtqYm39Qaa5Yg7ikGk
S3KJDSiZpnO6rUQxQ88EdiQoAtirqgSyA/YnsmAfieb7qmrRwOgEB9R/3E3YuPwkOvauYcic0LPA
TmYC58O4LWlT/zJhZ7PY3aZtifO02iMOvCcyOdXbmldHYkZkAqsf+r0uwsTrY/zdyxy/+5piszgj
eJ3NZnoO3/3PVRL8H6Ybrbi2lNxo19vAkhXYsNJr0Zlg+Mrd5CaCuuyQ7kbG7Gg5lOa0unVcfrus
0UfcPECZcSxmELd2o89eQVm9tY4IyzkkFyvJCS1excTlja6Q8zDLcQnYnYuqkr4aCmaXGwwYN1gQ
RKFX1HTQcD6ryf04GL8kRGA97dcPYQugueoWfstMf9dzvTcJBNOVn1xgWgjsInrCNbJAg4V+pCYc
mQRdIKqJP0BPH8F9uHTnd9IcjZk1lmgfLhgblpsWlbc7IILntntLnflK6uQBUQ0v86D5o2Rz3Hmy
O1UtuzO98zhP/a528LEI0NIJQwqm029xDS3Zi5p7n85lajo46NYrQA0UBMCpNqJGuBk33Uz28zjt
XAjAOkpAXLqFEOIRAtNdVw1DPoOmx1rGpwe71A9R5R1HMMMoPPxEeJ/bOByfpOsEOZS3b30AOrpK
9wHmr3WtMGy4JPf49O7OCN6ZqABT3eQ4wY4I7YMAClgZOXPmVfQOetuFIK2NLre9dcOyjVG2Y6uz
UuIwhlOmVo1EinMLuqPwZ+eIgwKpJqqzirkKYDKc9TR4JqPKfTwh+cBB0/Rhi6wWiOHj2GLeYNRA
H3dOXK1PSs6YXVt9y0aBejG3aJoJf60xaGEp9L+kpvnSxMlFDC3QpAZFbLMal6xSM2aTakoO34+1
f5ew8G+tuM8Qa//qwm1f89t9hxcVIkC66cQe3ie8vQ/8p/sOCw/ctu1d8TH+5+/3HaqrfNwNqFRI
wN2jwur3+w7vlodTGiWIVeKu2jazf8DZ4Jj7w+2AewgBlgiuHsKuKIdATdUfbwc82oiS+o29Sg1S
WGLaAxb5pH04cs02CK5eL57Y5LVXH8Wmj2obGB3XMwezVl7uYZqk6TZXDiS4hdPnlui0REdc3EAF
ikCYbQNpjckUdaEYJrdhlW9jK5oiZN51WNRSU4kngul23MZc1C4WE6vFtaPDkM3bMOxRCFsG3EBJ
J4zK4Bg/oNyzPbRtYPYNEpgyNEe4RhiAMWjbbeSOtuG73cZwDCAvjhvNhxQTer+N6sM2tNfb+K63
Qd7ZrCsPP4Ir85IKM6JOD4MQ4ZXOPiBPNIUeZhmnRUsDlF/12wxM408CT9/W3dFmG7BtBqQuUufz
HALx18i9pAI1pmEtT64hJY+pW/p0OqF47jyJ5Bk/zYsQlUTvjtCZiEyX9bx+CSfyxUbwrcT/s3de
y3FjaZd9InTAm1sAiXQkM2lEoxuESJHw3hwAT/8vsH5VUawqddRMX8xE9EVHdHSLBNPg4DN7ry2q
BwyjD61R5ps6jniSRcltr3e5q+WS6WolY0Azoo9axmYnmcUrIsYcf6F5MHlOuNhlcQMZaRr0khEF
cSiwFxnLEx90Ch61vq2k8ErP52d7AUwV5jWvRPsezt1Z6srxIrPt1TVK59cI+0qDzugu4XJlVHyk
fT35zSzOWaE9q1r7sIjsBapg61ZxfMjy6WSCjYfMwgJSiTjVJKHu19xeIFRT54vIwclh955a6Duz
My+qqWAsaWmhayjxUx0t1xitjmkDq1iaIJcynQUHEzLeMm3cCCdtllPtmXGHMe+tvss2ULGO7Csw
RrdKG/m50XZubBmvErbCZLB1WNRzgPy2ccPVYy2P+WFcXdfW6r9WMWIjjIMHgtISrabCcM2wk+1s
ZBu7UWy8j4t60xrG6I12y4Q1yhjP1zpu0WTeJAXz9ip1Amj4KXCzhTc56cK9NAPcjIxMYdtgW57M
N1WL6pu8LFmhJABDbadjg1PId2Ucdm6oU/phKsCrmgqMpmbhq6Gga0Noqs3h6zyru4SxBuYs467t
w69qWfYeRaQHc+4KK2y+F8wY3EIM8CpBHcKA1k9Wj1iNwq/3aOTMYGr12xHKpBf2xoWcALxxmJp6
ODUPbT4kB2XG5K3nyh5rLJ9S72AXeOwgCUsiCgTTXFxJybZvcIl4TtFStMHwiIBN2U3+HOdGYFc1
tzq3SV1bgJ+K4msdd4fJEvU+kyzbzxNFOUGC0vwQqMNNmjTRodRt+kg7vBob3BCpY27UGUhjzlDG
1Vj9sLeZrmelY0LO9PXQzNhOBlUNd3LT6xu7q/TtHIWOL0tNt6+b8hjFsoX8ZNAOnRkthyZF4qdX
jbypmpr4AqcNlmw+ULA81lKhndWUZp7TL9tLie5gT6sPkia8aII5a6b1U4MF/a0rWTnE3MbXVpq+
LunCHKR0tL51//v8/E1txvr074eYu6HA/PW9//MzdF27/v4M1UjHMKmHVoS7gSL1wzOU4AwMnwZE
SY2Z5Aezg06ImUmriJdafpe/8FD+354Rk6gs037wOPrRTv6DZyi/50NHx9ObISmOilXchiYSDvCn
J+iAgQdouDgP8iFiKDIzpdp+eFP+oomDjPHTRXgV1AlIZBz0pQxzeb0/X0SRWi1Ns64+a8JJOVh1
o8NtGWtqCTdIbpvRbypzyq6XKjHtq5Vh/9hGlppdIxmfvZgVq3pQzdrrgBg3MYjUMN+YFK9Loszu
wEx+nvNzCDI+ryTQ9gzxm+q2lxHTzLGyWRrrZkq6HQpR1PgFBOakV3xDbw6gVE+SnT3nc/ZNwjs4
1PUeD9UjsgnFW5KYDQHjKTXfW3HXuMrUvrWDxcYsESAWdQstG6NLqVDYmxhi14ysWaCRfbHsXaN1
OI7Kx8iU96Bv4WYwA2ym8jVncOeGE3uVuXgNa7mCWFfzHJUnHI9dGyDYhUBmCR8jPE5cwT6ltuTn
qSsPmi4VvqKXd6MS0T2pX9qJB6ea9A9ZMXdePIuXztQPs96WQZPWl2U8Cd9pLM03ktDwwqq9Jf2J
x4de9RuojZdFVLZe32nXuXAibxmHRynVggUB/YbHHk5DtX9LrQYTVYIRwWqqc1npR0u0+oYWkaVq
1qQ7k7QLdsPY26Z0KDdJjWhAGTkc9Xp5UGCJaHycbjVIN4aQSrdQ8ztROAgL7OxJatC/qByzjtKn
V3kvFC+WskOHjge5PRAAFvwXUf+ipVXgDKaHsEr19KnpkMKUD+GCLzdsbFTGkXJo7aH1+9HaLpbx
UicYX8XcHtlzv9jrls5Okze7YL8W6eQLNL1DwWW+6YkAn528Jg34E6VLd7EKFlGZbK/CFjOq3bOS
pvA69V5ytazc5wlIdn3sg8SGXT8w/vfoiVl1S7LjGeVwHhzpC9xLTIx5v481ZsmKHt9ii2j8yooG
mlttkyPDZC5tbZaKz8+x01sVmggibvyGzviQyQtm1dl8S1PnK0vMdy+RFmg4U5BGx9llWeSswNKE
UaQhf4ngJ5e6UR+QMZ+i3AJAWcErVabp65jmfHtEM2xswfthWctTZoZ35oiVkM33q459Ohhb+UsW
5V+6BGLDJK3q7ai/hDXx1kv2Ex5YnfIg9ixN6Rofl4iz4P80KySc2pzta8qQfCP0tgl3687DWRyl
uTMisbjYD/mWO3n2JSMlZW8wtD+bmrhrGnUnLfVr0ZX7JKshtVb1d+xW7PItLOJDbydBJvrjgGfn
Qdd7DIhh7nXmPeCNCVfInF4UFUR6Sbpph9QhMSLN0bSFBaOCUdhHyZoqn/SFyutyAw0E398IjMxU
aZcUHIVntQBisJnW3JsuuvWrrrIeY9t4TWTSgBDrNq6+KEGB4mKMQZHZ+reVjYoa7VAYw1M0MBTi
zLlpS2WT1spNpWh7oUg32EF9U4ru1cx86uDqVIp8dER0Ro54hpJ/uXR9sAwZiO75+zASLcBG0c+6
PtvgcvSyBiNo1+JFsY2grccry0LJ0EB+0JbFZ5Qj3MpBXpvaEqMh6TT37X2RONmGmcVr18eB2kwP
UvdqDHwTR9MKNB17NRYYwf7ECQWclnSYJWmD0sK6t6JxQmLRql4aoQBC/NbXCM20x6LSpVuAsZAg
SxIZ8pRzy80qvQaPayzalsqs9eyc7bKtFfdZ0wVtLx6FyO9xMDzJRatdy4OxnHngNUGbN98aVdnH
rfZ9Cu1Ts8xXTu7goinshFUsIQdJA3xOSpmisct37tCRzJdREd8mUfScqq20SvzyY7vM1qYu4EKG
DN89vY+fSpVPUcR3SVKlvqNJh2HsHgdYMre2pBVBKOHZrvn7MO7y7IFLzxkwSLnpd0O9nKQeyIyZ
asB1Z0eweKqMkru8wxPWDWx5LBJOysH2m5ypnDmOu1HpxTZUwRloRTVvRSmzYMhrZ0UdsXzO2SyI
3FF2XTbC0O9vOj32GlPZIsUbXTqWF1bzKdoQ5Q6/3mOrTLeR0Zp7Rx8eKxTWqz8svPr1Y/dnD8r7
Q5eW3V6fuLTGhvzpyW7mQw2NuRnOFXAU1j+pfWfyVxvYelP94dfX+rmKWK9FtBcLRgWhrIXubZ3i
fpjSMiSaehU10NkON2F238zMw+7/7y6x/gkfLkGCUJ6LIRfnmhtzliw3Hr/q9e3/wUXwl5IxwDCe
fe7PF+niLJvSUoiz1t411cUkXUnj/teX+PPHwlv14RKfwBsM/uxI0Sdx1u3bogmWoseHeSqtb+n8
b660DuP/8BL874fy4UrrX/LhHcvj0SjMnhdD8+EqpenF6mEA6zVuxuKw4J389Qv7eRbz2+VAJ2Gj
wnqFPvvTbgB/6bS0vSLwcj8qaE0s8y6Kj3Px+H6Z/87q1tXH3/cav0UIt+W39ntS/sXUbv3pHx3H
e1SfgqLUQV/1LnX/fWqHdt6WmaPpjOyQLchU4j80qAb/D2M0IDPW6n756HHR/oUCA/4qqlbub9ZY
/2Rqp6g/twOGzEEB8p1mgG2ZTEbapz2VA328dhQtvpJgNPjGyC1gIzzYm+PcfB1bMmXcvulbRGLc
5xZaxAVdRCiaLv0yp1m6cZjNyVclFHUfjHME+tm05PF6EnY1fxsUXVnR1hhHBgqafEwpSBuNDMLJ
h/PKMCWzlGbZM/Zso27bQ1iKb+2+X3lbPUbYUuJscFHQp3dFlY9fWPmnKgJNeb6NFRvzqor0P6gh
tC8k6XQ7xik1rtXBui+VURrcOe3H+7pwVracUS88rUrmfeiTmtIDM2eftWysnzSAF0+SUbNTofYl
u2jMQxb0SmS7OaUqxUJjE0EULgW8usQMGcqpe57IhVdo6XBJIFZxZZnleANpI96Q6KLqEKTKcYe4
zUDm0NiMWoqJQBb0k4ii2sHkjrQTw2LTk1s3EiqwBYpWkexy8MsvhUpsVxzpeN28WW6MVg3gVaes
p3VtyKq9PWr9lifWLHUsZ6TxqU9Y/2+yMRw3eqoMcblJnThczM2iom2s3VlQtzg7J7L5Z3PdRlsL
Pct11454jJyyu3ZwOAVpjlUL9oUOAQRbkqMxmTxX72alUopGeRMRulJ40buhKX43N9GLpE9Z3qko
OAf8iK65IvB5ICf5Tn6n40v2SspvMO9OYPYSXbyawo5enRW4j6c7DHJGtI2brFD+ToJNUkithf4s
6R7B/dXtad1beSbD0v+eXO9TktWB8/cn16n9Vkavf56RrD/1+4mFAB6GKb8NnOlvg5Afe4Y14psh
CUttE9DJ+8r9x4mlEZHBacQhB7IZVT0Vzo+9uvYvzTZN/sOvNd63E/9gRvJXbh/IEkBgOBQQ8Cuf
gw6p5OZEWHLIjlMBNrTkGdzC1QwjTY18LC1Wi660mmX0ND5gRX3iGb94tZW+aCOwbEwawtqZcV6M
m0aTUyxqTb2Z0iSNPO7f6j5qR8Di5OvCpCnjGRUtRhFCoWqt/aZDTn/tBzlEh1MaKxcO40pJj1OG
UxrEQ5I2rC0Annt5q49B0zKMPMxrFoVDKEX3Hk+BuBsYTLqmVkwwqiSYxtTfJFowGRjdmJALcCkz
5y2KMkljLJyvWRhEn0GhJh4jH5RTTVxGZ8iXyyKuFW25iInTCDXpArntXiFmY0pCDK0mpoJFIYOj
6lCDqdzYF7VubuVaOqdjk97UoX3s1wwPc03ziJxOuSg7WgpVEtlmNtPUbWspxe04nKa+O0kZYxER
6bI76wxyqgr7b8SYzc3NXqqhXMztW6b1t0ku3/LYKQyK8r48S022XGp6FiCeYjNvxo8VdGkLP09I
/NvlqOdQmCrIkh0jL7W2oo1aMZ5FuevMWnErmYYIanttSJtF9du22JbNmh6Sm8RhUdqERKD6qkKY
1RiJEFI4RCaEPkEP9wsGE6wBU3idzIZZc7AC1SrBqAkpk4sWjCZ5hfNQ6186h9CJGJEYimc7kJE7
uzmGTWJCWhgZVv1kgKtBUSY5CcN5Neq8bm7T7Ydb8S9mc58K99UNz3PdIPfVRIWCx+LnGhEst5Az
B6ymKsdIF4lO+wbIGxf1jFfrv+ffb9IimXf1788/D8hWi3eo6vpvfz4F15/9cQoidsWjCIfeUWik
GMZ+mBSr/wJawEn2BxjwxynI+QjEDzUOYG159Ur+cQoiPFI4NBEVoC96L+n+wSmorjjDDw3Fum0F
JUzMLJZGjE3vbOOPDYVTWOQQgDU/5WNCGCY2hUo+5JOiH0rwfAyPzYICLWKQMUkXNmQVPzXIPhCp
if9Rkl2GfHdT1B8ze7od5eliDhHy1zG3MzlZBJ4lCzmS/b0o5iur0PZGwrYwDyGd2N0J3syBdBHT
m4pmnywIZAo6fBECUA0tZ9q2mvamoUdAKLCa65Ns9gjVUjdtJqG9s/VgSFPb03O6X6eLn2aTTV+X
6/MGblbhy219p5vD4OqDxDgki8hfWGRvxqino0z02jJ8oL1Hf8cx3XYdE1XxTOHhpmFT+IZivTSp
lTB3SR5NMuuoR+EIM0UcGrBuJDM+mpG+ta168UKhBbGNf1Prip1qjgbhM/aumzCHzPrYEmg4Pc9V
+Fz0EzKuuOGY7p8S2UlwzmRb2lMCZKIyUCbRkrvM6smO6u+RrIMpU8rHmtUtMy0YZtBrXs1VPNxl
87ekNsIjfDOiYQ2UU2DaNtIqOlZhGfo6waJewhbfRZ/qbIXIjorRjE82CF9sEQR9k1ExstOzko0e
WlWQzxqToVV6SOyQzAYdOeKwChPnVaKYrWJFe5UthquAsV+ljG2XxWAECT+d5STclHKXHBO5yrd4
N3sCD8blHu9j7FcygYFAlEmqMQuLSXSWPVXtqCI1s8zHsSuKm65VmnMMxnpvK+10gVsLFdGcV+wH
mhYunq6nF6Eo6zXPEv1Qu+CNQD8UPk82i0ifXNlmX6ryNUpPZROz1PsiwwwatyGO/K9S6kRvup0P
m2IFSIieJSkLZY/8Cxy5KNAwQgCc6NrkqECggJLLuy7YNEcXHYQKeUVVSM1w1a7winDFWNCXYOVc
0RaYmTADQ7vQe7AXDZKm1FpBGBAxCEJFQr1CMsoVl2Gu4IxFzxRGiIxj4eoQofJO2EBKZv2G3DCz
y2rFcIBLHO8d4lT3ZpUjMVpxHZINuKOD4DGtKA/SNgnBAe7x32L2vZjVmGv8/WG+tuEBBe1L0r38
VRfOD/9+mmP3xAgKiQYcu/LeT/+oaVVtlX2iV1krVI5TjuwfpzmMGqLbOOb/+KkfNS3kCpjyGDj/
Q1pRnOu08sb6S1kl/vzgN4jHsNOwXU5L/9DYpNP/aHf+Vrv5p3kQv1WGi2ESnEyT/26d+DB+Qtps
1qScKqduktxWJv00cTvjO8PUDx/AX5Qw62zxpzHXp+usJc6H61QSwURtYignAzmd0l4I6/uvL/A+
9fvVFT4N0iKlKdWVBH9SJwsa9hfLeas42hzp5AzEb6qEr4xPNaKi5NxXIR6AVyYEUXRWq+u+vI1E
zTjjaBrRBrYmZqbrIb0VjKMn1Dm//kvXXfIv3wu+WB/fCy2BnSPa9b3QNswOAKo9DOQeVYp+Eqsp
FC9nMr9ZgGMb/qttJt6v/4D3ZIHPb5VCzcFmmmcOJeXPfwC4cKUfZWs+sUJNUFg5bX6R6arWw55f
VaWsf+HswOk5tDwmjUHcKLkwad8r8JgrlQfoeYyZbZDHoI/kg0Dn327z4lEttIMIZbw0qpQqXyat
SLda5qS2G9rQwdN005rtvh4Q5I8kzfazP/YwK5cTz+RNEelu1UjuYBIVOjnnQj0DoA3C4bFDJBl1
d11kX2p9TqqM6Y8Uvqpgb2kYnrXkDHRqos/uqrppfBNE7tLwlJ4Vb1CGC0smRbTezc1jl2JTkcB6
ivKo9Po1FLh0KrZjqVZfCiN3a052WOJ3vb4KQA0oD6xNjSTSffDmcOVtULhVlj/R1rhFQQvgGCGR
a8hvf/0Jaesn8Mcn9C6Z+3jj659uF5FQ7fdTt5zkrbYL98tF/6Bt7X176lzlot/Bc9jYvuPNgeYd
2gPsN396kvb4cLfy1rxMgvS3JNG/PSb+NA//dPt+0gboxClaxfqVrbJ9hTFc+KigmqCRf+s+/vY6
61f/j9fNePrTdT4deHZSLHkccx2W0Pnd9L2JvGTwSD5guPbrt3gVe/zpUh9vgs/zTf5xqzmJeoqR
5WJV9ocJ77dL7izy1uiEoO3XF/yrE5B+gaHqquSAjfLzTVeYxWRZJDWdBNE5kH5H6fzrC6y/4PN7
9/ECn947zGSMFiNVPZFFNhiZKySkGNm/eRX/7iKfTllncvB2AnI8OeNxaQ69eUdF9uvX8VePpI+v
49PxOPOsppk31BOQdTi0wpVN3PJXTjz99lr+00uKy7+Lx10v9HuK7v9TybermPcX5VGF5e8vutz1
pz7URSwRMJCQvMRkbt0zfKiLDAZt2DqpF3B98hX5URfZ/2KTqbPQtJQVXfGzpli2NLTElDMExMnm
P2L36e+zvE9fdsj8ukrpgkzZUj8dSCAD8jqTU/mkakYbB4YNtQAF8vDSptBOdRJg5SLMdjxpWakr
zn3YE4oRthgjMYI890V+axXCgYKg+kPfk+JXJ8+DJO+7sbnIJCZ+rQGOisU3KaAoSTJN+YriBrwo
C9Rj0TR70jsgrScnrZf2Rexc0sG5SktrgTwecsBMu2V19q5MMCQLUjg0PG7CBLQvLeeM5FYPfdIN
j9wnJ7EkmtnyGu6W4lbEl0kxsIQQ6rSL+zSIQvOI2ilP5q8iWtfCRkp/lcpui8KGYdqxIHF+k+Lr
m6sK4F6tn2KYBUhzQAxhuRnL4Wh34ffaIfuPm1WdzewaeQ4imzK8FKzp3UhFWNwaG7wUyrd2rlZz
qO0vXXufqPL3yCJWjSFn42FM/zJZ0vdhpfJU2BazzL6c8wjKGa8hlLPLZKm/dWnVBWOYJRsx9wS3
qY2xLY2QgGwa5dZm+lCHJ2xQX9l7wh2wyHmxm22vo6FxkGu7I6gjG5JrExKNpAIJWQNoB6HQ6S/O
fWo6wSAMFqTxVu7t0evs9LossFCM5USk5HIhsIhuRFg/JrGhER0KWaNxsvummy0o8v2jsYgjRl2i
AbrirbLbS3KYoos4izhi9Ngve6joHXxWpVd3XQhQsGuiOzVvmQdjYbet3jkIcyCE1Iy/l5F1G4Xz
lvzbiZCP4jCveR4Yf14nAj4Wgj7MtH/gf4MhidtdH23EyGsqSJz25/I9J2Qq7lApr+khjlX4Jn2G
H6/JIhYRI4XS7GhAt+bYxB41VhTwDy+VodnUFZJuOSOpZCSyBCb4NiXCRJ8V+AysW2rbOGKggclY
VezfCD4Z1gQUKLaBvmaiLGyE5thClr3mpWQEp6ABIkFlzVJRCVVRCVfJDJ2sQvwxGdZHPROHdM1h
idv5qoWmhBXm2C8GjCQ7seaXIarah7js1/0Una5rVqV1o9YoJ0HjtYV0LddOc8OsGsSVMiVBr8lB
JsUmM4nwLYum19BwZC8GilzKjXWwyum+M9vnPiO/qK6qaytytlKcXStQAWwSgD3cBn49sSjTrBE3
scw4w+ivFEKQeXH1prEspjdTuqv6Sd/EoS6walqLlzKfYOZU+H01BZo5f4Om6zfIsOzQ3sjO/IUP
mvScFIViIl3AltzGmbQvYZ6YyK2jNPcdKdyR20mubxmhf2aJpi8Hre4flKb1YwPknYp6cSxsptdJ
egF1CqxDRu7xZG0FfquiLvhA7numxPM0AIUW3lgMe5oCxgskE88kCceJ81ggxmSIEV+MrGH9pUmc
YCrMwV0yuAyNfKX1zkuHL0nuZ2+erBXB7PhaPV9iVN4LgGKo+OT2qArBZ2sgR6L16dqXoR1P6WT7
XarfyUmE7GhuL5bMIsHHKDd6xl0o2zFeLMUJcK/eGkP42pj4Apyx2PdsCr3OGncYJiaGKCxGteIc
ynBSYhKL0sSwXRhlXqwPl8Iqj6CvERNCb9cj+wkvhYt5ajcA+G/Jo3Cs4ZyY44Os1vsQeATrYmtD
yCrn31TiEzGrG21wei9Z2pMuoxKN0t06GYTTfRWaC9KPFa/cX4fqcECdCkIaB9TkzP6yqIFpthtN
UvYVKw6/q8qFU1gLHKM/yuUS2KWOCm6WaL3k5zzsVLdXh69aAm5YqIa2V6zorOCRr6PoWlnsC8ee
ma0tUoLQXxxkEo7xjMNCrqN0U0iJQ6yyQe5FPJ1xTwRZPp9Vx37T1CUoC5K7zX7TEb0VQPsiLBci
3NzX596yv0zJEHuFYQwMTA2Ec6maP2ZaOPtRPb6l3XCMJ/k+H0poPtVF7OAxQ293A9bFVzGSGdGM
J0+pr8gqRku6fMkUdXGNMbvnBN50pXHdSgxmI9l5ksz2YWqmIx1t7XZDYTE6tb1eiY8qY9R4Wr0o
0ZEIKY5xfd6HjQNZXAmbeTVRdNn9mLP68RWpVALymYVnT/Yml5O9arDWrUXBiK2Kv+ujNvjzWE0+
A8BvzrKclJaIUsqFyI9UoiegSLmh1rxZ/YjKv88uMZpzXGLIRA+ZPFSpeq4K9QbPHCb6Sgfr2L0Y
qA/wQsJfmU+dCRdO5fxqLRIySqP8Ms3SfT1VRAugwRWl5qP7VXCgihNkysXTFxuTHp6AfEiH67Yn
NtrIrXSnlzKebuhP2MkVWBD/JrtS/bmGXfs3MKP4exnpow3HffJzsY8uQNFndtkn5bZwHwG8nxsP
TI3nfLu76S6rQ7KpvH6XXBhb4cc74o4JVtuBJN++13X/6Qr3/79sSJmm4O8L3IDcjL+S36w/9aPA
ZWOtmczpKCA1i0KW2vf3Alf+F0Y6S/1Duv97gQvUknqY1c/7vvp9Jvhj8GfArTZR1eG5RmiHruef
yG+slWP7oZvjG7Tugxz25gBmHTIYKMA/DomyAhLh1IfWVTh1h6hvxvKyF9RuHpyBumavnAzL1hZd
5xVxEU33FRaS2a8cIu2OpJ09TVp3W8TN7McdmcSiH7YMwP1sYYGpyKXK1Jo9aeWkz8iTE/xeRrJB
NkIu72JcEX7VU+xJTxUJB0Q9PYiBuuO6J2vplhgejG5QRYh09HKp43hJpKsMPAoG3rEhVkiKnua6
j89hGCfmOc5n60xMXAeWXoSLhhIk7yvfCAu5vDMtSQtCygmx6SYl7BF1kN54P+hFN27yTDxkqhMT
bJVVOzAo6bzjiXYpUv0gBuOGKMKZrJLyXl7yu0EnraWK6xeVGYJrxgO7GSDd3PEbdnnPcZmSlSfp
V+agPpjTdD8g1vU0QRziKPlSoTPySwB363Wt+JweRASVlr7Kwh/UULO9wsy+qpFxm9nilKa14c9S
8p0R8V0x6K+yzrHSFbwpht1fW9pqXIL1shP8fleN6uzrrEUomkSykxdH+E1DIVzk9h3AWjWoygxq
Hm0EFlp1FyMzKsex9QuRIMpHjmoANSJQB2hSJ2flRgXJsUHnRMmhro8+Uva0mJ2Eru7IogAQZWeC
R9uk7udRWVlc8ne5cnx7oO5BdRTiFey2Rel8i+LqaDrWsdMcOJQ2qT348G6tkPAaJ+6CKZS+G84S
5PK0r8P6KmrJNyK3y6/bhfjFct2whPVbXxG6aCZELAxS8SJiBwfaXD7yle5d1RnRU+ikafH1utYV
VvW9XV31Rioh3g7PudNfG7Cm3ChWbsJaklaqFIiYqTU8krg6j+8bFVX1OCAyhiTQH3o+wb4bAsaP
yRZcz+KaclNtsGHvi5EgjsZ4ULr+iiiQO56YmYfr+b6I4hvq+sSv5WGrRKa0T81ec8e4vZmt8I7g
oeulQfEtFLZhs0JIo5MQoq204XkIl92chxJbQumlbaTYl3UCMmYjlNFPOBQLAxvByOi2KPMAFujz
cqhq65TSQgXkCwqvHkrNK5A7YF4VFzj2voNZP2AbzBmgJZd4wBhTytYRMLmylZ2cQSbcOYUbwMcE
/q2VaxHMTn9yWv1xlGLZ41YfgdgU6EQH7Q1/IOV5XVESYI4brN2yDmYta1pcvUQ61mfjF1Us5U7S
+XaGEY7SLk9e81ldtoNlPRrCuFUVPuGxQiCdt+reZv3io+RBOcL82dThf8mFrgeiSU9JZKKdz26K
fLwi0kJyRczTW6QZRkWHYIuyCcwctIGoheY37TS7TWneCYVWU27lt1DVv8pa/oLqcN8ITXYToD7U
peqr3kn3791KURT3hejVjepAxJ97ZZuYxVM160dDqmbKO3uOQeJb+mRea6ldW36CgMOb4+YZN71f
qQYdpkRbMxjNpSlN/WbJqi2by+dWU58aGJ47R16zWB3rvAxjCTQ2tn29JXgMA3PpAuB/CecQOrXV
39LNYKqp5Xw3y7TEg5WlnLXa15qARqAVyC9iOyMpKmQYirqNmPC69MpEvhqHutpkhvY6LiC/S8O8
TFN19OHMWXTMJcp/SaeeHhrHLYDyuOSLvUgjd7LS6dpODoVxlUwEaYxdM/m2pMa+pjY3ojS7w0z7
uVEWojsTvJ4aJow+Qh+fAKskpyOusYSI/VyEX4uSBPMC8MNGtUgzm8jJBZ+RvphWaUGLS5eNUYZB
pGvzzizbZl/VepDFauLHlpkHts1agvNw2ZZp87XF7FDix0BFs62GMr4GO2eSHANDYe6YkzpYmANK
fXokYw6vTYikAZy+fRNpFyzco6AvUnvbMTHxiYKTGW3M8yEehu9ZI6ONwpZ0oM3HzVwvbHKnqNzF
JdyIRRR8NmKWmO4Q0ibBBmdSUXAi9iOQo7B1Ge8u7LjHY5Q7h9BZjlKykGCCOjAIs+W6LVaSs4XX
wDIv0Go2LrSH2B3G+VwP8V2pLjMPRCUPag1w4hBLLd1k/2I2yCEKIi22kw3ed1bQK9gqkQdKHp/7
RD2X4SL7GWKlbV0vR60PL8Jc87NmOY/s0Dda2sirwRZ/kNVeoc98scviOe9CdsyWQ9lpSoaf44ut
NHvesFVmEoP/xZVlca8M2bcqk855m9xmEfnAmPbMTdoqptvq9Wu+WG8Rsw7aZ73z20TnV5Js54tc
fqoTmCfjkFyFzlAFWP5HXzRt6FVhdiztQt6lUxrdNzEBrSJ8MlUi2VRuXSsv3tqifzI0yTXi/qoe
+SrrRNSGhupsFIfQNqfI7xHEJy45tiObHel6kQHH4qe4VNAsEPaYHXP0Fp7OM9WQRg4wRXmd7I7k
r/DCBkS2JXH3QMoeoKlMYoJVPhRzezWV6hpfVEBlTnVktO2h6ZSjAc1Dqu03MaHTNVnxlI20C7v0
1ZbGoBuqftvR7HY1/6+opHtmgBdLdCyYUbWDtSfsdeVSPMcdh++InCVtrT1hjuu3xgZaaraHpRNB
bmV8PLRublp3x2nh+5xgHAlUVX/VYMS6TDJvEf7xjznAR1zcSZsrri6zAVO47bZUbl+pwPbJROQH
lY6r9eZhMZDBDnABzIaNlyMeFI1fTnuCBCY9ZsKMt1rRv5An/BBZYQnKtrmSLRpoihi6EAxzUPaN
WEFlYmtXU5Z8aQUEjrqTca/UzblOnAuSP2jzzeZmIBkAVCaYrUUvtiTCLf6oAs//H/bOZDluI+yy
r9Lx7+HAlBgWvWjUXKyBo0Rxg6AkEvOUmPH0fUBLMknLUnjRi46wF15YosGqQiUy73fvPVpP6w6n
Ow8jRrAGY1kwbZht1XK8ybpq7qnJu1XIvtNz0giLCW2UuSl3thHu+zF+DjWB6Ng75xG8dzFtajdZ
6s5GjvlSQ2BTktswnY2UppktaIbf0AmCBmKzkTGmz4bTr60++MzQ8mDqrWTLoYZ8WNUj2iSnc72P
BQ/iTl7w9bkNZuwWneAftJIeGAubTM1ciyx7utUxLHZNsvQdo7zKLUmjKAMOq19FDDSVj2FXFCpk
o7yW+wR3B9WgUd853RozuDJejXw6uSoiZWn6tNAEk91HS8dN9kWv8lsk5LpURW4mtDJPFspaoV5z
mSdKv47MYmlmSbv0u+IeuyW4AqervG4MtBUdFneGzG960xrWtQG9MJYfzQhcCzRqXmnUIDC4u9A2
H8G1XA4RsgsaW7III3RQ9l31IklMzEI9LSrKSOVAFpJjg6hEcwuPND6/+bNjb95SWRa44aGSmonf
0FwOjX3qmohRtn2YjV8e2uGjhtZRu+ZBm0Z2N0X5mWfLiMxFE3PuEBWMzD2O1Ce0vnwzxfjlRzpZ
zK69rKwJ9kw4bQaOEhQAhT3ztfyr7DPK5ULUaBVaWUV5glml13rSrfKGTKbIin7Luntwe2Njj2Sx
cnicW1JyHs83LogQv6Byvab2rGN7Q0ASbumm1NntulrykFQwycNzUs4eVyTmAfOYZFTsOt2JVojK
y0u68kX8FfYrrevaiL8xOhWBehIuvb95dzL1s9VknjJRCiiVYN+pxcekD3ZNGH1q7OaudAvqgmiV
cORmsOybATsm+97TWOkPUQlHplZYGbNgR1Jt2sVt+sAveBdGirW02QuuwqbE8pQpD2ZWdB+zqQNf
VsUXQ5gUy5pWVyxGE8LzqC/wGt+XHZ1zcXJFg8hjUjpy0dXU1I/up1QUh8gIP2Z9GP2/GVn9/3eg
n0vK/vlAf9M8UmyRPrY1B/gcTMC4+/q//+dPX+f8k98P9bo6O8oxs4gXNsybqRVZff6I6dSfaRvO
239NrVSbzDvGcRvKoGA09cOhTvPbnKVxkcE5C+kAmP+FNxOL6PtDPb3ulMuDp0EgYNTNr/76UK+Q
ekwkdMFzyxBmOhJ6EfEJCtbMWmEmdYlY3DWLLBUnwXJP0TfPCs7GEogc9TiFl2nZodLlp3Qs9mmd
X0dg55qZP2fE/hGP6ZFnTbLIQdQFBrstdiOHUO0/TsSI3QjEZtHpPBcTq+DcNa21jJBsiHmiJbAM
NwZ7dNrEx6blKGo5FB8aXa59xskBYbUP0nUfMJpha8xuaU9+tgk2EK44g6m0iFKQxhbOYjuvojxT
jrOzIzvbVLa7t1JIcbcGeXm8LVkf4992g9A8yDiqP8W9Dxu0MzIdCCKUQk4x8YVd51YMVVrU/cqW
NAaAjpfxFnW8m1aVhMWxynBMBdSED59byB5eT9LcpqRnQa8qHAdXbsrIeix9WB52X4HdddJ+TZXk
MfLVaqHXDaHnMFpVEye50MXz4XNQUv0Pipx2ja1cd6Ry867fmTz1OqU5DL1g4m1RV1paC5nq12Md
PZZKcYEvQvGKpj22NlK3rZRbZx6rkEC47lplh597RVXaCf/nM2U2hFj6rRY1DJCybeBXB/Bdp0wf
Thg4P6tjfe2GPPpi6y5xO06+9tbXgrMVdkwC0/ImLSeAFdEyBVjfi/paNs7SGHrOs+bHzLY8KqIe
Xafep3HfLpwMX23sPudasTJT62T07aovHDrnpoVW1Ec/qi9dXKus04yanGWpaKvcDk9TkZ2dkceI
mE45nYH1oFPBUxzZW3iAt098losy7tduGJ5ivzghH1xMcHaZou4ZTW5KS33QRbx2ouZYGs3noHDi
1fzRBzbJYYnHPtM2jjUctHm5bF311HLAGav4JC39iuKfRTMpdyI0dik+Ty9t4QMl2a6mK8eJHELS
1ZNL8W2Xpx+ZS94VanjdhMraL8XBMJ01gshJjal3sUbt0JvD545fgn2VtoRsffC7ac/GZyHD5hDY
aNkRkvgQ7oqaMlRnlE/S1q87d7iWI61AftCJK1tIDqF9eLJ8E6qInp1lSjaEoQYnbRoX5ug15xlP
DNVZpVW+17ilWtfcpR2F89VcPV/SQT/SRa/SSW9mBiOh4GqYy+qHkhx/mtpLgx57GIfcfhTbl6W/
YTw7rhXDf5hkeuznEnwna2+BpjDUMBhjzkX5+lyZr72U5881+kpINypbXiSiUDvS+XNtzqX7HAGJ
qw984l3sXsY089eIC+Vc1Q9hSSHyZsdrpj3Hhj5/Wu8XglmXygB0xd3Bp6XrDUdVKAA0Ey5yuACg
OCU1FjWte9HZ9JODAUFAgySQWdWpnNECfZV9KQmJr/VJoYYO/EA8gwiixroSqbMrZkSBnGEF+Ywt
8GeAgRK3i0IlHaOHeKNpTThkEU7ZhHlEphf3jQ0IYZyRCEo2nVoYCWyOv1ozNEFx6Lgvc+ENc1Fy
HnfXnD8/NKRrKKbaOkqbYoXOywWVREdgICPWQFaAbEY1uDO0QZ/xDX1UVmuS94diRjtQWnJOkuqu
s3Cyg3S5DSzB/U4kJIcLQWvG2Z9BEeGMjDBkfMdkLKfCfabozGCJaUZMhIIh0X9iPmoSni+sWf/8
7P8/aRnlT39/7s8/9f25r7l/wOA1LItRi4OVEzfIKzGfx7rgH+rx3vJcaMDDx4JZl5rxb4Dj72I+
wwGSbOwKmNG4JtG2f/Pc114Kxv9yqyDm44ii986wqNXBTDPvMF4/9wNp93FsOOlZ0apPQUSMdWrT
z9oodqmG4yFmUlXLdmULZvodlnr8CO5YnXqH8Jffk6XI4JN4baAw+Gr1dSDUNYfUmz6ChOrYRbvo
gvGgNv7SUubSDa35AGy3XKRaeggF1RqdIrdpUj/CSQg8srdf6TulW0MhtxqI4WJwuq9AmqqFg7C8
JDi+ssZOeNrI2FSlj2GJHWvgEIgpwiZ/taDu2cJZkI/rvGDUOQqx1IP0oh0E39KguTdmlkudj18L
1doTVSmZsMP4CLo6oZUVQ0c4Mb2z3Ut6SD52PniZ2EFnCENqLlMbBTy24mgxBSUo4yzwoSgzYG3W
o41vt6qQ6fUeknIYHBtmzIjTFyGvyStGWtcyXb/uo4R6lCBbJbl+9DX91qfDEmply2DApXyzqbuG
2gnF8Uz0tswYqXh3yo+OoMnCUkf8E1RrV1Fw0+hx+aBW/YdxMmmbngMuBvpmqvWpF1fyYQi6XZQn
m6xE7DFbQUNETylaa/i6F/rOMQz0D0bFEaeNqDCyTGuVJO201AU0lgncrRcAEN4oRXttKOFXQYpm
0zOORQRKLgrrsRkeS04+Zmk91qNRbFqpbtK2DlaSiWvxgZBjfpOq+KCeomD6ynPsejJgjNnIjzwi
ZOg4j1KLTz73905tcnVL/QNIIem7ZzMDoDzSqG26cDh729o2cow9NURpCE13PBnxxDM7KjJox8L+
2OP4tCP6UYyheKqmTt+ihLiIrZYTfqso+G9oSW/0L9a5w2NdP/2Mi8lPvVrnZmKehY1UZx2ZIwk/
1jntD2P+z9/zCn+db2gpA6YwDztVwmm0+OB0/b7OuZReg9NViflTMkYFyb9b5/429hYYN00xW8pN
sgTuu/NN19LMXBZWfx57o7ZXYeeTFUX0xNAwRiECyuwZSgKD0usOm4LWaiBoNZW94q6cCFAOnTUl
h5q2l2kVE+KcVklf5sTAmexb4stAtXWGHiL9adUEMkIkGSRl8VrgPrtqpjU3Y11Tz4WrgKJefyTb
zma56C2gsIoPerKyAn1id570KH8Thnvi9m0waKtMD+S0wtaYaVjV4Sw0baJtWpVc0UZ2gSnuUg23
0pqzzw58JwtTzmBrWyrduB2MsY2fe8MZ1kHsoD4EQUxZwgw53IbI2XvFd9LPkQ8myA16TQGQPXYr
JZUA8jKSZ24I/FrNOGZ1QorPnahDeoEzanzUUQk9UZFKE2P4bPUKMJ3ceaZk0/SajAXOLvkzorhg
rjsc+AOulIswQNF0NOyOQZTpXtpU7KKlkn/mEJx4utYkDBd1FDypIo+2gn5qctPq1pEmezRSWY+a
kzJYm4pgX0olvaSMOfQIELobp8yfEnsSGyM1AmpDO3NTF020UjmveQk+wZUp2vQyUanWqtgCZ2XH
Cl5V/cqhU9oLHOMpRILZColrBHqXwdPAZGRcBDYmX+Vzyf5za01pSySBo0pICNrufR8JKWKqBTWL
fk9J2jmlB3JTFFm9d4UaL3UljCH9MLIICqugv7/DNB6jwdvC9ITdj1eu6+O0cItsVbehoP00Q6aX
JqnlFiNcPkl+Tce4T3N8WkEVgzuTpJn9nskJaKjRa0o0wJZyINBMVnVFm5fmDUHPsDeSnTeNWoUK
O9K0Rec5qC/VHVbkvxm2ESVbDZrdIsbW1cof8mSrYTBbgFf9Fiv5b9k02M398/bwz8oVygB/FvTi
J78vnUhDs50CNUenIOBlEXy1dFqmydbR/sEj/S4NWX+Qz9O/GTpeCObfV04LDPFcaCwsgr0v9S3/
RhmysZu8t3sIFrrZPm1ouphLJl/vEOuWTVSXOMqJPSDSR7Hr+Cp6eWrhDdCaYp3Y41ZhPLiIw+xq
hgcuoA6XHLUwZ4z4KdK42U2SyQEp93ihWojpej/6eA2cniFp/bnP8IjEw0OpVsexNXaE450DwFG5
MrlR/dK4C1BNEJggZjTp9YDPAAiW8YUk/KKzrXrhG+qVqyoIt44vmNjIj+pgPw+zFh735U2GOD4v
n0xcJ74rij0Rz6zuzbZsl5EGf21W1+OgZC+I4J5XSUtoHqjZrMWbPrsyXGn78EWoF7NmP/XYBJZ0
MD6UL5J+/CLvswzNWj8pbiglVayWTOU0M1i6rMj0DrjrkkIRBqcjc0+1tRfVaKw6gZsMT/dlG4+c
ZfN0kRUY/Vo1/trY9pNPJSb96A7ogOZElYxO05znj7276F3K/NHpb+xBSzwt0x/itEYbc6W+GgcN
63HRXVh+Xe8rNf9c6WEsl8DEC3Ul8F7QeZKZKBovIMXQFkvS+rdqyOjWJv9EMkOdET73uVlQEQeU
sZyG4sCMY1wotosUA4c0KHc5JMdaw7GByT2F8DgI/x5yJKJDAv2xAFeGnVLdsWUkMczrXhkzLNIn
Z+qpMweL3+cjgeto30UUKJS8fZ6j0WRHwjk7+456mzppt86gA1CHYF+YWdQkXtNX0YekVvQUkgKY
jZXWO8dJH68gfiWs1NiE4rQAs1CqN0E3XvmVpMpeGucqcNfKoG+ZHVyJ2N756bRJunYbqlNN1Cu4
bZzsTH3iRh90AIkqxYzMWuu+xA9Nw7aZxR+FXdzaRUjC2fmQKRwNXFlvYbbdUox9kH10I7P2nmrQ
Lf2PiP1pWC4wflLGEBmMM3qxVjVmUYM9Hqy8UC/4yHnUtPFTTJtnJ/ndlDEQK+iNYmvpvjdM9saY
xIMusxW1db7XtOlxCvzrTFTlbhQNHGDFvIna/nOu1KusvpWtpi3cyr0Kwhhpp2NsMe2lpX1Q3Ril
o4g3dSS30RjTF2oYx6hOHrI2iGgztNZlgwfdqMplWAbRQlM496F4Pbo+Ip2a9cvJmk5MqM6h6nzU
9f6iqBWMWvPRS3w2StVaqn58MwXhudfMj5XsOd1pH9JK1Vaqjrs7x6EQJcrJV91NjFbXMltD3sw/
dz5GAKNndBOMvWd06UWa8tdINWMMa7xeZjsnaA9dk1/wNyc4o4axp3C2AQvYp/oayXKka0fJs+tQ
pQbGU6zgUxyhbQpKNaRQnyel3iZR96l2+3XvYi53+BUM56Fx8iMeKWVRUPRuaAi0jbGVQXk/2lh9
9BlLxTjt4OjttaNV8OeGHnenNO6jVu76WmIx65gwOyZ+j2Bn28aVnhOzH6fuKDosuIPIN34unZ0r
S3ZbtL06yUf4dgeqwe/svFQhI6oohOZSL9NjmFcX7E6oYjVv2D7aiNbdFzPjq4avjMM0gDCs2MGI
uTSOum2qVxeVq19zk+yLlorGUDbn2lfXnU1MvG27eyLnyyk003VXq5dF2l8AmLhQDHVGhSiox+ZW
lUzrMVhkU7/tKRJw2eAOIFqbdLrCBUt7SVYdDUMyJ+aWddAhszq989X8Ab/Y2azErpHmU21SHVpY
O/q4PnR1dCOc+halIfWE5a87Ee7szgH3Ue60DEfQRKEr0+zD2OSUPjB3rbX+GDKlj6b8YUiNG5eq
eU+nwUuju5pGCHVjQo7Ny/LMkO8isp3n/6SrF+lKkPL7573JB2ZV7c9YxPOPfd+YYETlPKezlVA1
Auivz3SzrEXVG2ZTjlJ/goy+b0xM3KYamhKHLHMOVL060xl/YD/VLb4LM7Ro/qN/sTN5m/ebbaiI
ZxqKlj77UHkUvt2XDCoFX1Lm7Wkak8Xc3RDUwouczHv1vnDjj0GR/y84BZdFlDf1PLr7+waIEZxD
fQoHVTZc7xOvWtp0lRWb5UlthXuXhJViweZLx2mLdicIdzV5a+7q2p9u+HpzZrFYAmPHDj6VRUxQ
ORjdC83OSoqYpRguw9G4NsaiK5bWGNj1Ba6W2njohspyLnu/6rp1rJGMofgzItmhpKQyU8BIEdZa
fVX0adstHCXANkLffn5PUQnIMTJmKrLWF5Ga/ck2y/RstmqZLrQSx/+68AcDBBztFmnNjsqO+sI4
q3gwk0OXxmfZJLSh4AtYhO4l7pwnUZdf8ypY+7V6a+MWzZmqC8UqNrrKq1DKCN+8v3azlRiynT+O
1dJIGPfhrF/SfvscOsg9pXnS9PK5NbobuICknEEZf7ITkKRukLRHnHASAq6w9mnkkgLJqMObdNKn
imI8m3Gdb00/pKOvoecq63za1rAlrXQe9oRLTnWOcj/pTrcMoknfNLl9N2rKfco8f1nEIc/cpgl0
G7mLiraAyqYVab1o5Zjz/wI6qZZY8o5SZrwnlpOH13XQKavW1uTKHVRo6iTaeBd1+BR1Qiu0qciR
KprpugLpvg8VTftN1ar+NoH7ci/DmYQsSTBxziK+S/xWo6yCgF3Dief4Y4997Ga6ofjFq7Di54za
PAoJV9nGXslV7om9uTZWzBYWv43QzirIX2owhY+GDZASIUfMeWfsGm+/U/R79W1Qh8XJ14M9h+th
kQSV75W9qXuOnbirqvNnHJOFK40t2jGwpb/X+IyspMoWo00/rw/dDk/aQzNQWlLrwLCbplz7zvRg
C3bnsY9wwGDlI2ND29NlBaOuZuoy9CiTWkgKXoTDajQoktHIR9IJVpnUS0zC3U6GxqRF35j4bDz6
HecKPrJ1WY5/zFwWhokTVy1XPW0quo9wkeSwYmGhoNTG8LpBXPYDwJQqmNNLRnAX9MVWM7JjOzgq
w5pyoybcaLZbUfajxje/XkbeLiK8s2RCLQQt1kvaMek3ffvOupPeuyVGspPa0TzAQkDzulTzhYL4
hF/RhOcZEIz9saL/ZOV6SZq++TTfXfPdp6kMnS27JKhP2B1pA5N0gwUF4Ul7a2YtbCTGgYHFUc0G
EyVSZp7CzMfDJAF3Ooo4FJFzr0YU1zMufPYTc02DwVEvrCvVn76IoHrACF4tKyo0/8yo/KcXzE2m
Pz7B5WPz+M0ycnrMnv73/xyf8q/Fl5+2s84/+P2prOt/EHbF6AxN9tvz9YdcYEK7pTSGBzMPREz+
P5wkL9AHKAquixqpGybc2h9KK7RbYLYqcWWO9//qiWy9Wz9YNISh26Yzswq5+TRUjtdagZ02gYNg
qZw1hWNsQ4OHak5Pfh8SIBSkOlqylUKL1/IlbalGpbx25wimbncKcUx7jmYGLylN5qHGsq01+dF/
SXEKhZoOK/RnmvdobuKKgG6tOxPEdeqva/YiGwy8cz1hjzu2iYZVVyruWmr6fU4c+0tQpVDF9KFc
F6GdLntMAV4XdECOCv6uYVemRwmqfChnDjYjI0LG9B/v+9zexzE9Vj3yqghRLetW2bQ6IY5BV72u
IpKZujTfp3qHlDge2W7gnbbFKnTN7uTkKtkqGQcrl7wpTkWGzYx8ATMkA4ewOYg50sHuoP16ui/L
1WT0SxoC60segUyhxyb91DlivNG0j5HJeAkc8Al8TLi0XPcKHguYHF2jOCvGocimnGnxlxpCu+Vw
ejEbzP1OJ3CqOMO0aXAa7nNY4Z4womGXjLW6qtFRkFt9/JrOoBa8Z45O+VmpsL1HwxaB65FWMBYN
hr2K9nsvIUJ3NTmxvcGBkVwNnXouyjDcuokSQOHGTOsl0xStFYV6ScrOcwgCccxCK31YBZNuzyX8
g0nI07GJZ8QhugrCR+nfkPUpNx0JFnBRrp3vctl1m6wuor1vKc6RGlZcQpBWj1Ss1BzdtKr1ryiO
/ZSGtPSHufUYMAv0+jrVV8BKPiXU4q78pnxWiW4vGiU4pH4IkyIez6maFPgEsudwEsuK+d15zMyR
PR1eBVM65P9ytnFKZ+1kR+IXKr226OLxJowpwtazbGOG/MuVzkIbRMusbux114taZl9ijmvSlCO7
XjePnSiV/WjY2FrQpS/FC7ZEMsdTa4+JJG6fJEAWS5uDrFx12XKjQaEFqiArQeOPWRRLpSg2hex1
5pBTuzHC9CHtbFKHg0aJOfmrfkB0om1TWwvTd0g7ZWslc7/qSn2w4uyqaNs7SJDHurT11tOV8kQ8
aNzxAI+RpKetIhgYZo1Ib9XY91eO89Qow0WU2heRaR/GEJ4tXpZNNYzAlqc1rxkLTn4QMI6mTrkQ
WnTIQtzLUSv8Y+6U9TKzSmPdhsFNOA4BtBXgfXG3TSo+JPxH+7KHbqnEtu/pifMYtIwnGys6D12B
+zUn0q40XbZwXJzaVrpzG4FjEhK4RBAviDkXzrNFUV7bZGs52Wsa+hdqVxfrQFevSzaFYRlz4DQB
J0A3osXHCxuBB2tI75yURgazvSPL63CTuoV19tkI7dmZPJeVdi2mdje7jYwsW1kNG2Y1HMh2JOSy
u8fQMjaW7FY14DYsos5lneTXTqF/dRO+w1lqPDXueG0qOGWpDD2O1bRWEtxIfMZZ3GIuBQkW4BHp
sKd7qZ99QZK/BRbGMTeJdzxwL4GAnzOoJ2CXqCMotnZWLFhIE0IE6hWRCZyi44JYwC732yWUK9xx
ygYcxNa2iN6UcFRqIPdCHViJoi8W5c8pji+ldRdJCBeqLM4oDg7VecWG9gCMLC39Ug2O+y7YDqqz
zArl0OHsAUj6CCPTG5MBASh7Zti38NnYm2Tg/SZ9kulT4bfXuH65I1XyJ5jVe1JVlb2s6Z7DXIgl
Vy5MH0MsDfV1Y61NtAURDNfm4N6mMQlhfMA1kw51k5ly4fog1iBYMA5R146bPY9VxIYlXI+4A2oy
MJYzuGziw52hMdGa5L2qNfjZnRvLKu+dsL6edb42+5qP5VOlQihAifVsA365Va5rEsuUIK1IIELx
CK8MGR6LzrhmX/qsKQTBpIqliNyJqm4Vt9s6tbJWw/QmxijbCO1O8pvaQB08S5QrX+kuarVd81U8
1a6zxkO/JxLNBasVWbphMeT1km1VzvRe/9K3xT3/K5O8mrEckUkWfJOgn4f9Ysz7R84wi9xRLogc
7ibFXhUjqlMnE8gHPCTC0q/wQY+E1yx7ozd4ftv8oWEvPpY2YhM4i9AkQdHIbQ4eDf9WMe+RN1rc
3fdS/VjI+Jpms82cXo98CIGauwryZms3grvT3nSiu8qL9KKcciwY7U0a2Vtn8M++Me1yM9vDGkSW
wQeQt6A1SI2XvkqCoeco4FzF0j0Y2vCptNLlKNV2QaT8zpcW7dz1Oa/FdTsEKmJufdPiv+jKIvfk
NIei00MqaAN2KGfq0+Ao54VqKu7HpLnQJWjwEiYOEe4YEFndz5seRL8yv5PluNf04kLRMWlj2/c/
M7NNb2pmWItJb/ZSJfTWU1ZAnk9R4q/0U97FTWbvOOwhHtvNp/nEoMOSj4uAfJL21coUj7PlPVaE
HZHZM+sts0KZbDQ6VACg870kh7GYVO1TyGl47RrJbSYp+KoGSjQN7TJO8A4mYIjygvA+o++tn1gk
9JVsFU0Ffmu5sMmtL7RRXyZpvBJhfjkE1ib2h/2A/aRUypWCUb6Rwit5/vENoMgg7mxi88FKhgon
A3YISUOJe8pDYnDzbac4tN/BlY3UTYAXB97MKi+AVGV1PDBvnmhhyC/GJriQDX1jAt+KhFmfs4Nv
QNfhpVf2OVhicmN8TwmdasUuVZrjpPSfall+aR25CmJ6Yvx0oOOYiAT9LfafvY//WKP1VrVxXnaI
jJHgXxtUGjIEfbtDpF1OyjbKlbOabSMOYkVyTXnGbzSbd4etbxexNOZfJlvblwz8q0o/4kb4HU1N
OQ/OZ9lv+vbTUDwHxjJj9Pxqh/6TM9bPNrwGgs73K82/yasrFX4xaqBAlbMOd8yklsFmzDQx/fgQ
tw9RYS1+fbmfvnt8mxBQTSJk71+Y7hQgA9MiuOyUh6a9qIIvefrl15f42Stit8xmeaY/gCp/+4p8
yx4oGynDS+BYcb9px3GVEhbIgk1ERYLe/Eb6+Mkrwv3GoYV+YRP/2bsTQ0d0UB/VJrqM6CyJDOZz
waZMfvOa3sorLzfdm4vMf/7qU6p9pUGN5iKxRBqSB1ADy1+/a797GfOfv7pC10xNJ4kHXMryiLF2
kRS3vh395iJvPfp/fxnvPpoyGZOyy+roclAMLxQYOy9NCntc+5OIFlZ91tv6N1f82csixscAGtM6
8A6sO69fVoKcGuWxFl3a1VWlBgsqbmz/+d+/dSireMwM7gMksLfX8In3WU4nY0qHQpy6SzsvFn16
9+uL/OytQ8Z2octooH7fyy9Uoth2FEEQk+Wn3CJ6wNmDxcD1b+L2wsRC0ftXv77ifE+9El/mNYgl
7q8rvvuwmG0x99HG+FIdQLnWHw02UL++gvb205ltUUKzMU7paO0W39d3i09dmPhzBi27jA9yBy5u
gaizECtxFV6LBSi9NWis9a+v+faSf96Cr1/Vu0uGHSxFLCfxZWfVHJPxO7osCsX211f5+XtHsgXU
DHfeTJR+fdtZk2bZTabGl7S9LHTtYqbm/voK87v//tMxtfluAzg+S65vr1DWeqSNNZN3m6MvrYHs
Nh8ikzxeHP/mtfzsHXt9pXcLHCfiQmq2FV9q4il0roR/U02/Wd5+fgnSQRhW+SbZ7261CEK7Y05B
cpnnZwGTeqAJWm+t3zzqfvYV4mb7cZV3H30iu7AZA64SJV9Scq+GsmKAKJJ2kTSXSoIZ8zef0d9e
FrMWjC+mqvEo0rDBvP2MdNe3y8wu0sum22Bp7S1CMde/vg3+dqO9uwQy2+sbjVJK3tCwSi9pIsD0
EZBUF795235+CcPhW8OGB53t7SXiYcDRz0nrsk6/KNPO6r8F7/5xR/W3W5nX4DA94HuC8Ka/OLxf
PXpYOm2k8im7ZJ+XtWIRxrsoZmPqPr28V/+pssYvVdnrqHui8OIr79b7fN/8g99VWQ0UL8NQEnRM
Q1m0/rK/gswi98cAEfOLypLG5/fXqFQFiUAuUJtzfABi/hJlgf7yUdIBZLG+v+i1/2JU+vJ4+2u5
EwTfkIotppGuZekG84e3N2Goz9gFpmFHWVRVaR8UqvVndqip1pm6dM04Ib+rG8kytHwcBlHfksEb
R832xiYSZ7ST9NzODch4tZSdELlxbBNlXPZ6nV9kvpvdjEben1uqBQ+zIe5LEzT9Xs/65AZIqLww
QYXni2bA06RH5rZgpLPWYok0YyPkPoSqqroIbuS5JY4b0003ia4x4ktzXKcgT54VI5rADVhU7roh
dQ75CDRXdVxyvBZYUT3WPfyW2SIK7eQyy1r/VmeTd92WM51LpYAQVFdqz9yuqQyZ8kj0daZ/mp0H
Ohds1Q7NoyNtAfprfOGAIUd0V1JqDjUSxYwKA04FNQzRgWI1EVXxnRJPpCKqLoExNsz4ANwqM3tM
zBiypMXJZs5osknX9aVNPfp8jHWaslpqM4ZH7aQrLsiAyUf/BdZD4hpqrTsjfJRqxvmMUW4YmxGs
7G4MwSAsi8m8nrSa6hq9gwpUgAdqsBntS4tj+1Ggie+cipK76ymmqHKUgnT9IuTG7I+ZS9RI2fy3
Irx4J+ZHzT/PafB1MrnxHuXnx585KOYf/rEquAxkkI0NzBDfcHk/ZjUqy4IOjgUyFd4Ccjw/lgXx
h4axAlaK5TrfCsC+eztZFvgiMysw6PhnXfhXVV5vH03z1FngH51XJp3mZ2t2s75++hmhpvTQS8xT
iJpbn4bh06u35SeHY/Ndk/WfHg2TeTbIK/bcwn73fG392mx8MbSndmL0jh+AFvdT6sfXQjbPDbIi
Zs1omZkGXwol3+Eq2coqZhRfktSdHQeoK5vclhhM1du4Ddcm1gQlJe+mu4dWECusZ/PCFKZn7cXP
YHRNBcaYuUHPNqijAkw3FoI8HH3kxThBfFHFju4+/7kXKuamLLSWLHH20jSj9Gulz/wQeldWJrMl
bOiBch+nULPdxPzShgOzbPoXFyYekAttxq4GmnO2S1tZpY68hwdorNhzUothmv1lPNDVZWAiWGvg
y71R5hedjB4SXT+A4iFpnI0HcsvVNs2LbZ4301L61a0vUlx/0RFKi4HXPn9QVHhQxAGesamem4EI
ZJ1N07plhhKUzY3NxFzBXWVU7kOiKtu8bPcNWPCFaMerIXH28TTQIDbJJfb6Pd2jj77W9V5D02Dg
Kss2iR4bDBJebTOCFs7/Ze88liNHsm37RSiDFlOIUIwIajmBkcxMOLSWX/8W2Le6MlnVSWt70x5X
JRERANyPn7P32rssSi4lOlgoU30Rqs9MKA6gHXZ5bRz1ojb8Rh1Ombb4JvjEpqp3Ju1Et9TB38ZL
t1vS7KoJ4bC3i7joYtgvcDCZVCQHXdLvugy1qrowctIWlIsaJz3RTiLo7Xg/E8LsGgljgjAh8Kvm
YFuCNut1JxjlxuNe4AEoumFDfM2BNrDHfO1RZzY1CuNstmQmd8tlGus3IqcB24eoJfThJMZmX87j
PpoSyBwMxXJn3GUD8kQ1uzWVkqTIJHsE1vGghNajGfabsjEP9mIgFm1eMFJgyejgu2rtc8mXR5g2
baV5+ZZmNNUt4TWhgfhlOlYjSQJ9zXQAXzZ/1G5VV2fIEZnWC2/Bhqi25yhEtDO1XbKR+p7Hpv4x
l8nOXjlwWvWChepZkuTb1lrBG2HiD5PjyUb2tqThdZoriyvm6Jgma5OSZrOrS9adWByvrgB1RnGE
RSrP3xyFhEkJ/0NgL5Zxstfc9zg2F1+qIF8Y5m3i6E991UYbSWXyj0OLtycZb2UluZB60CxqPQKi
rgl6kxTjZkJp5PUzEcpDJKd477U2cLIK1I5ODs/YmueoU80gNswH2bQRO9chHTeng+IChLJ0h8rs
eb+bIQQGOEvhvIoX4/PUxOaxxo8NspbQJLB0UK2llP5sVgpfF1aDu1qSg27RkQR1YXpTwvwGYdHL
F5W5DpJmuKh1c9GRclTpVbsvKD1cRVvzztS63VFZJUEU90dTidAYplWxVTCHhNPiBMu0cpD1rArK
ri6xV8TZpUWBw6hFaq+ZajHIDKt3Y5kfmlB7tdJ6x/p2SoDfeI7CYHPOpGOYMv1VMjB2qWlMXpeV
+W1p9AxXFTh1jz3joXFoRg+qw6VOG52VxQMl5NMU7f2yKi6s2mJBxBuoWON10Wv0VqzKZY06ILjZ
ZVodJEPiVUt3zBJpKwxxkjP5kUOYp/VrrEWYbYspJS8QTU0bE1tlA+NWmAu6oR5bb9VIDtWyrI5E
vR7zu1TJxw1R1lvNKmPo4MDThL2kwRLHzWmx07OmVjuC3K4ViLpeRjTWxMBhlbr7LHl7VQn7INJI
yMjm4d6UqrtchSeE8TND9tWLgKSrnAT7vj+Mslm+FPoKDYylH3UrZH/uSfXjcnAbIJRdMgttqG5S
YL1DIoYt84Z5y9IvHsOaK6h9dlfkWuxj5XIOPZl1YAOic0F/yssopvfM6YWrl9adUSP2cvWEXnau
ovye9TDkQFrfmeF8ZxfG8rSEBfC4Huq30UdMhcZp0822tIXzU2zLuS69jH/ItNbon5qYGL016Qhw
VzwKdiXRwaTBv43Ta6PZeQMAuXxeARLFGK867qBvy0t5tg5pPd/LIgmGmLkx8/D7PlPv7L52LqZ5
GvalhPy+DDMixfqEEYosP8OIBmY36fVTb8J1rErilFPBg24xRnalUHtSkeLehqoxbeyeONGkl+fg
99szZ5KfeyAf2X10rkkDWs3EHEF+3f4ZZJskniXFuYOrRRzX3jDH67FpN7+/DBqSf7qObljgSTVe
+89FQGcteRoJcBJZdmpN9Z5V6cpmgsxySc08r2bNOdsNaDMyO921qgDxh95MLS5YqY7kmLiJk14L
xo5mLQea6D3gy24Rhd/L3hzcmVcAmu7ZlL9SUP3jJ+f4ZdF9MFb156+/kJH3Zdw5aXEecTtHMzNy
oPHlF4kqH9bDvw5n/5KG0etaXd38Rjzov16l7dNqhus0nKtItOjX9b2G/8+Vw5p9g4HPOnd8kqqs
vKal6M+OvB/tcTUVVyxUWF+WJGdouPTXZAw5t5AyvL6EWyRzQsJAw1auQhg1yugcS/FhClFHjirv
jZkz+p+BadwYSvaaQhRUyJDcLmPthq1iBiKL0yDttHeJMF+UgUyUtRpSE4HDXllr20TAQmIrorQR
5p6gy+9IBl4nmFP9ym2drOw0L9bgWtYs7WRlTE5ERObuMiEvi5QOnp+TWL4SRw9hr+R39WiwfygR
2oKKGZdZdTuAYcFQssUpKGbmxEqDSlYvOe0W/rRMCG217BjKrz16PcPasy4+2xJSeNohuznRoXo3
IigwZ7gVNksNP+eiU3pMvGa+FUHvmKR813RoNnJlOnAEfE2JJXyfM2MrQ9rzrUwgdwNCo7X1JtZa
YgbV6SY3zezs9Aoy32W6qK32izwbekKf3xeUU7yQa66mLTMbWf/7Tw0dGmtlwX/rzmioXzWnzf2l
GrKzKdXAVlrxgs6ZnBuotYoJhDHOkD1q2YlfZXGh5XA4jNpTJy3uuKgno7SfNL0QmxbXyKbvZayP
BkqQKMaVA5UMsnypEyTIpu6DGa19ogWpR1iI5LwsiPWrb6M8njxFtAyYx751OcDiK4GnmS/vDVZw
h86UNygl2YC5em+qM7UzpHmtU3yzbIkDQkPhNqP5lNjmHpHnNwZMKWNklgEng/A43YUOLPqh8Wq4
AWAaeUKgZM7qrTEMpzQRt3Vs3OSWszXn7skGUwYSGCOTWffUgjWajB5Xpb1aUzVsWTINBl8xpVeJ
Z8KrHO1Z0aQnRQwoFTsilAQqg2GRJleaSnRCzVYGmUIqJcwSFA1i8PW0kz3bHi+sJuEnGYg1AsgB
GfhOWxOm7Qkn5fyqjfJ7zdG9sMwAS9Up7Qs/HdLLUkxHqzA3IwpuYcWYXgqL8Xh8nVZSup/tJShx
QplZ6OcVBU1pRpxLeBkHybke6+4HiRtABWbZA5WPcBb4q9kKEAZkPijm0Wy1LTMy7tIqqdajxRvX
CjXtxVFS4Ocq42OJaDmS4itD6MBry42aShc5u7gYQY4oqMmqdoPttnD2OlhYhV0zC8dNx/ZeNADh
e6lO/CyVtsloXyzMZy2HePJRidY8WhbdBVZ6AvDGGO0rGHQ7NAUX0VgfESFQ9XaZdJlVa6BVZh30
aLyoPrx6JcoGrUIMOMrJTlTjSWo5JWQAo7U8KMET4fm6Mo3Agg882mcyCkxE6/outIbHSpZcEJEn
02iaYAr1YyLGFtpvSCClOlhei0UAYUVYbMdh8Svqhh1+ntafTWvXDFQhFjELSDiGAEKw8sXW9sWb
+rm3qwpnTpwq7c8m+/7QntDpeNOwZs1fps1J4cTy+610bbF/3il+WhnW/uPPK4MqRMHpgpWhLL8r
1rdhggh0LKKnUf9qaLHuOZ+vBKtMx1sBawTf/K9XGlvk0ok8TOdFmTHnxVO7UijvjDYq96KUeOam
4aKqMMaXiqycaDsZrpmUEocJbObIxbkzivQDztj1VGi2O2j9AwGel6Vs3SLTdzn1eF2rrhy8iVyT
aJN38UuR6I+SyKqbqIfsZwjRbXOjvzAS2aWwCGZFHhEWhVuyPKxHYhBvqwUlg2Yceq3bE9Z6sUTz
3qicS1AVFw3btiWlF6la8DJJriRsb6qUx7xqgjgL92Ol4NEjHroz8tdFng0vG6PnGgvloxqtWSNI
xL/4VX/tt/yfBvynH3Xt5P+0sKemXsRNaE9ne3oRy9tsf6Gt+Orvf9o4ZAkumRml8zm2b6vEcWvt
/vfP39/qoVVQ/tcXMD89fwSFpXKqRvPZUK9iHR5BF8iwl35/kfVX+PujB/WGkhR3j/np0ZusdoSk
zLdwVE/t3rsxpya5jyfri7uh/vqMf7S/sDsglab5RWn6MV796XbMSVyM0VKpZ8qYdzY1/y7bhL4U
DG7sPbqF+7g3veH4dgN35GEKXrNgfuONbnfa/vdfWF37bJ+/8U+v9ccH/emDOEPsVKsr5gwKxpc9
OZhu+21+LTZOsIayb5Qtv/MGNpgLEi4gXGYI9HPx/vtPYfzTp/jp5hqf5ntkjWS22vC7P017NbBc
kKFXlnvZ6phPto+Gd0TbuHXOYjPtiltjdwfBeDvtWPfcZYvmufVpnfmOLx37XbFtL9GwIUryH4DO
nMlH2hp7Z19ejLvmPt/c/v6ja189+J8qaElt46xC13oGoOAi+vtebao7xa+9xA994cdBsckP5fbq
/Rj0e0DAk5ccEtc5JOfIY/PBveJ+C72H33+qj6zKz7f1px/0czZ6HJeM5kw+ldg7rvCWXb4N7wrZ
TT3iYeARuo0HMGJrn+ud+kIjLfj99f/5Zf3rPfq02rDUSHNbzdNZXsrAGseLBe340MvlF5vSuqr8
/Wv+dZ1Pqw7oO20YlgzHVES+8fguT7vRfMPdXstEMFWb33+rf77V/77a58OkBN5fM+qkPzPo4eR3
U0XX/38X+HTm0yYbXzmQ1XNqXKgJfUDH8n9/hS9ujLW+iD+97lJe2YU186KV1bnN002lPi2oyH9/
ka9+p0+raKtkLWrCpDtP610hl8aZEu/3l/jqe3x6wPpyafuiJWx9HCYvNs85CljG0L+/yBdPl/Vp
VTLDSJppzrEbTCZIqCJIs+5S03rPmlv0aep5QITy+0v+4/cCuGdBvdBkpHC/3h8m+RqZe11/1uGP
JwTsYSUzt7+/xj/enp+u8emlySKAv7XQp7OR6PTvr/P8i67CVxf4tCQuaT5pSVkPZ5lFm2Z0qmVf
/Eyf5Ed/ljP/fhX/NlSOGfqEGc8xZwOcikCPd8QmuQu5r54Iosvezb8IL1pdSr9da9Zv/dOrgyhX
Q70u2KOeaAwXrKqniGu746tyXPaDe7V4Ff/BNQIiC1z7WnJvumDd1a+e6yvtwKlduEkAa2NXeGL7
1cf7x40cVfu/S5fPT07cjLIS8tIpl+tGLrkMnfV9oXhuutX9x8I9yO588UN+43DW3M8Xozt+sXqp
6/L0u9X4030fpBY9izNTS/iDv/irYcV0nYvMv3HO5lHb9v6zugndgo7tBhTt9muJ2FcfwfqkeJGm
XtKLserO0kXpEvWwuMk3Y6P41kX/fdrh5z1aW9hyP6JnzZu26WXkJ99//3Z9HLx+8ytYn56TFGqv
TrgQeYAb8sdcxY3Xqm6fenfDftrvCbBwlzO87keZfOJ8U22tK2ARfh+I/eiKl+yLlfLjYPa3z/PX
6/5Z9WxLRGpwVO7PdaBvzS26+WmzbJZjfKG47xg+Nqln76sdTb3j5Fn3AYx+blG3TTe3sb8WCf9X
HPxPzLMWz/95dH+Vvb5/b/6u5Fn/1Z8ze3BMMiRsA3rMiqRb9Tr/ntmvpG4d9KJJXUefkeXpTymP
8wfHFQ0XDHNu5uArUO/PmT3+SjAFjOuZ5yDToM/+X0h5CLn85Q3n2LKeWVhaLQf806pn/XUNHOZx
0Ds0HQyDiaojw+ixHOYbqxzIpXKiy1ypk3ciDAo3nrU7rSO9ZNCk8Na2xh/E9GxUZGTuotEfjOw6
kIvMxq4YZQEn07cmwmI1ZYzfhr64QYYTbWWnDGmtwPDOM6LwKuut1+Jbc1geRd6Znpp12Moq3SNk
L9+lVkX4U5vzFyHeak6xWTL1lmv5Y4esCHM5vax+5uBtg4JCUHPqUudeNxmZ47j7lrT2SW/Ca1mf
LkXU7kprJRjj7lERCG106kw30YerSbXKYFX9u5Y6QS5gchdGKsPy2tNqEiZxxkL6BaqvYBfdOB2J
gym4maCfKy3Q0nBrph8909wBz6vfMa50B9JweuCizBtkt26QU8f5vF8Uwj+6QtjICJYHw/mWA+1u
1OnUtvnBGrqnXibIq0owJuoaYoN+Jg3eHOhvG9P8nQiA/aBYgPkkLI6yeIgUpgiOLXmAjWpXb4DC
xcsuUS1smxa8AYinZfNQSsZb388XVplupZQ5O/bBulX2fZhek3/KLN8wb2x+oRBskiuVzWbMsnOj
OzdmLL+l0wKrUHYU5FCMjB1rvM9V/TmxnbNaWRCshwIfd6+gGp+sCyWx76RMKwDoyA/xkGTQDBOY
2eF9NTXnqpcuoiblaJdl33VJvEyDdFdp/XES0w0Y4w1gvKdeSt4zB9WkQRvUayp4ecsKYGKs9sOa
51u5h2dY686J23QcafjXtFVD/QfxLEGo8nVWqVllwYVgpHxbCoxsiQ3mObIIhmCW0BTli1aYz1re
Anmep1e9H3m+lBqxY1Sk7kD8pDJk3+BnPzqNBsZaxeGWmYfenHel2X0j0QiFstDW3tU2imNaVGF9
RSupw3s3TL7lOOSzSHPiS4IqfNbsVYVFUGXHj7QUsA8NgfFVJ/yxM6sAEz+mt7xxAtxJ1SHE5HNW
+/Jhap+zeq/xzj3TymI4U4NYjFJYjp1+X9azuJ7HxtmHKQOK0monsDbYROV+1L2+VqhJVvpfLFU/
jGTsHFjddVdchyJM5qDLCfC5H6AEpGjLCK/BDocd/7YINRI8pEh7iPUElLrS3yJHZwgwE09Z6AB9
xsHP7CRBUu9s52psfQnIC2HPTXaIK91ayRpKUI3aczkYhEEvvG6Z4JEuxs7k+E74GvF/IApIErOd
6dauJoL5hLicxPINlzIh1JHtEx26kcceKcmKWCMrLyhAr/oYI8mysc6TDhGygpkLOCo2io2wyeXp
bLExO5p2NlZowL7ZVF5lcb8BEt55AJsuyqplDDp0B10U0TlLp/tUN2/5dZUt+MZzmzRXU93fOymC
IeYbXhSOb62pP5Sl9pTLFnAF/HNJpqHPq1HLoLp9gCvB/rrkwrM15TyGA1El5ODhj8yO8khiIbYl
b1qls3VnPFcSoXJqjcZZS3/MS31fJdZDVcenrNHfINOTf5RblyaJy2ZfygzZhQY+C8UP/ivJk0Pl
TZ6SG2aYR24eKSPJgugmte7zAfXNkkF+p4UughrRhLlIus9EiDophV/S8TLNvHrWwvcU6h44CbWL
6G6SnlVAVQ5gxC7CvjviqMdlhr2NsAETqMaQO+T65oQmWDZBSUhGgjDtvkti6TalUzNP6J3YrSqw
KqFDmyvrSS0slANMsVdpzsmZXu6lWQPDMc2kftXJ7VxNk9eM465qiSEkQGQdnNXvY8l8T2rkyivz
4j62TSJ2q/d4sToPH25+NxUItgr1Hstx7oUVdyOzws3cw5Ujy5hlY9yDwwGDava7KmF3qLp3R2Wk
2eYZz1qb90ieMsRXDdY+ZR7gxUUEAJtOi5+za50XNW87619zt/9VRDL9hf9cEXmv2SsC59f270XR
+g9/Loqw6yEf1jUQjata8d9FEZmkaPuQESimvPoD/iqK7D8MuJWUUNDN1/QT/tOfRZH1Bzs0Gkag
6ESTkmf6XxVFnw6GFEU2ldrKH/7gXjif20JFZA9DNtjIMXhWdlUUbkUERbvRxoveGsjr6dX2OPXs
DZq8aFtn6q+YNiwACvK3hi3Db6HEZbMwAkdDnBKNpkatIWqvF6hLEmlUfdHZTJMIKPIlTPdXAAUf
hYEObWg0zjHycmGH2rEx9J1dOhieJVzzcwW9Iio95DanpZkBYJfpsGOWeIjyBJWXbhyWNRQ00q2T
qer3kVERRB3b185opX7RxNed3LxSBBYMOKOHITeYxcWCpuVkDV46LCezsB6nMG09RdOenKx8NJnL
OCkBExZp1UZ+6mzcaM0o7osG3Iuk5LsiZLaJkrgoko0SSc8q490I2lMn1wxtmurIbvyk2uRyCBLt
hDFtB1B2ZMPpr11mc7qegO5KhP0hKxOsFVnmaw0bw0wmMwCBog8GajZUfORRjBM44kjblYKSbBr7
87hiqKJlVLZG2m0SwsKmFJ0T8ZMYXtXlSgvNd7Wr7tJ+3oy2krtahHFWNzezyMEbExgRWu2V2Vv3
og4ZTOnzk7mmo8ajUfnIOBBxFTFJSvHc+gUo3q4hbG8qrI0issOkZN/FsuZpdEyqRUNHHe6zZ5bO
Jb0yFWGqtZvs6LY+62Jv9ijqGIKac5J44KM2sTVAUa/jIO4WckM0XClNbz8J0wRcX68IkDLewswv
3DQv34ktL/2kg1yu1gq6FtLT5YjOwwx/cUhckERvTaN9Rw/yneU02kW1fo7MaE86K3ni8pAHyZzp
D5rBoiljUGKEGXtlUR+Il9lnhnIyUMM2dkTMYxY3QD9ha6qROW/tD8Z6YfRdMA7SdVyN3wD7jQ3R
WYyj5abeLjWqOqurkWTW5EXp1c4xS0G6F/JEhAckG+r2TpUiFFLN9Jo6+l0sl/7Q5oHMaBx6PQAH
xXkstQF1ed0Nt7Wu1EHsRNO/AKJzKCBeLL0SdBnqEM3Ibhwif2BaskXGYl84JnEnrUL8OrUgglPe
CyvrAzuplI22SvJM3vQNhWlGNsbSX8wqpZAk3rVo1K+7ML8BCE2Va4JkYWNqYTxg/kYAE7Q6cFFq
9cuy5E1J8mlyNVERYmccRS7LxLvRbTMTfsDCfOk65dCW17Guo/Fs7CvbzsM9UW/nKczI+Ma/4Kjl
N73NKAjm5DXX84oJdZv60iSlPoGQiTsaNTLPGuHKSmPQZi9ZyOLVvg1YTBN0AmTCUfqBVOYxGPLw
Few30sm5PoVLqpCsK91Olb4rFAF5uxYPUpR+T3teGbXAp16tMhgHPCMNY9cBsL4GstzVRfjDgRHi
RRPPnZZZW70sokCfKDIk5IJAberiKKmTcVKK/I7arT5PA3nyNpLfwHKWEO3MQJ5tCJ4lapgGiHE4
wR0glc9CPpk58a1oeJoNPVL2TZYI1CDc8SmEfZPOy3UZVqarrCyuNh9ot83SjQZ9z5e5ElAKCAWA
U0avSFPwjyBOASJ0OphVCOq6OKQzf6vX6ms03xdZ2d7KoYzmOS5R+w2wOAw10JZlAnRTNk1yWU1K
85R+pC2ZH8lLLRlM0C3XNKaPZCYCIwu/XuOa7I/kpo+t8H81gUZn8j/XBCu4+lCC+Yj/Afq//tOf
qoKPNjmmIltXKDV/qgoU8shNTDJEklu6KdNg+bNVYv8BbIrNX8PYhzXgZ0CkRX+FDJKPP/bhovpv
OiUfg5S/um5rUYB8Cgc7TlmKFoqNXzslWNxZAfS5uZx5JDnbqL1CMlJR2AmruyguY908YRgiQMlo
tnQjDEKeOO4ukXyjhfpN2vTfAcrV7kQOE0K8C0EuE0KGIxJ+TyKvKSO3ySa/CawR4Tv69EaD4cis
AsUYWU9YxTZhZB1bMqDKWbo2yYSy5uLRIFTIJivKBvKOvcjFmLNPUaMJSQLMTLqUYYuHhrQpSZev
5zQ792QoDqRRsecDiTYnWKzL1mD3GuPo3kA1L/GNgqwZ3xySrUIn3XSN9kJU5XboukMRmpuOJKxB
r88hyVhOOW2cRfciUZFvxfJc1ifgw4+IQHYCsqEzz66UlpcJ+RwQRAKSE/yaJC4hD88ktV0J0Z+i
cfaGksQukrs0ErwatQKG8aNtHDXI14gvgRB4IfMLTr0bkwFGEudeah2fBIEbES1biUNpXoHyrxqC
EebWDaf4MiJVLLVGXyFlzGjz3TK3N7ndvRWkkEl2cca3dRxIJ4PUc8ibedfXbGOkl5GQeSb3IVhC
hzAW/cYSKKlt6DdksIBiyUbUWZZElADI3DB91Ur9xiErTcTI0QlJu+xJUSO911/ITGngobSkrCXO
tFdIXUOaDH2c1BlYgi7R3pyoOEWKNaptpePGNuFt5hrjls196Jcku1kfEW/1RCQBoW/RVIFLroRL
BvsbecvOCvBfU+LajySJ8CM9Dm+c2HcfC57+sfglulloW4AC8cZRyAcdpnZPzLS8Les+W1GFN2nZ
VYcCJJHX1jQZUKJrp8lYiHImG5VIhLiEqhWpPsaw5EZVVPx0MKdgRu+SQmnRjzlwemJl8YgaJnWt
6BG/VVYddLaceL2FoIhoTsNvzfk21gF8dg7T/FAz083SwxQpsXW4Y9Te200nB6kJNjzJ1OvYnit/
IXHCIHbWkdQ7SQ3fS1sjt16/XFRjozcp1M909FM0e3oWfo8X/WQn3aOE2S85NT3OAf7ffnU1YBIx
oyDOy2u1zB8AtpEkOgApDOHee5CNcQtU+lsUwUCTmwL0Rlv3PiC4c0wshmtNyTfMBZM76BxChwHy
Tqra36PKeSlm9d4wzO98fgH+TW69edYoYivsISInYcMoUOSR+MCYgC5ilTU+ubqXg8gPdj4+6NP8
o7fkQ+LYB70UKMGlPogj8QCKNABkWp/ncKw3RKtDke4l81Rm4W1RCRTETtoSgTYAttNxBOHafRrx
EPptTa5wuXa9prEBEBQVmySd9qGUbRMZpLSzDM9LSVZpht0hlq03MUxvkz40bjOR8g4vf6eZQJYs
IvoiBJyUnOrGrjLYmZq6DUv1qatj+nKIsurW2McRMs7ejJ/mSOOPS/p7HCJ3NXHyO333JkE8bVX8
h1MoQ3cMH7WImPQZBtKi9ggTiQHSetwFetf07tJUdwJguy8ngEImk/s+heGTlsk95P7Q4vnSNiQr
0wFxRl7ROJ1RP/BagukjiUMjKF5WOWGEkObwc7lxGjMUI1YqjheTzzYcKrKNppz8pBmEkJ1r+xEu
rOiGh0KWD91oL24mOdDX6OC5vTwdUyHfjlF3YRTiTpktGH2JyVEqIaFdJ/zdnKQjIfdUX3N63wid
phuIeT+zqqy/FSItNs3YRsKTylB3h5qCVwIUsde7eCOyQXcLGfuAvNCUgONH7FqblxvOlYc2na+r
vCVokRPRNdKP+F8zpP/VIgZdgf9ci9z12WvD+O+z93r9V3+WITisAQTIBKapqLkw4/xVhnxwqjWM
wHAeKELWvsGfZYj5h6WvfAEZVAcz21Vm/WdzwvgDCC5OBVoWzFfWbsd/UYdwFvw0seHCa4uDz4DN
03bkVXDw09SaNE25LvISUjVHRGwx/QvbO6KCFIiaPKwMrezRUDjfzWV4ihtiMQw4VF5TDFcYGfck
szNJNlSGB6iYWykmVCw5kRM8cmaLb2U5/TbIjIKkcmAVl0Z6bqN6Khdy2ULZjLy8rS6LSX4cF/NF
bfUnpyaoxoZPuQnX19SRlk2mS1JQj4IVi+XDovPmxlXyYNjFSzWX94OAKFF2LYYD03xo8BkXU/HY
OdJjWMwXwrRQZMSnIRVHaJovbQmEO3asq0YzmA1EdpDzxVzIcuZWVUum8OVzPmNn0RNt4c+u+O5s
3NnOeD+rqDOxjm90fel8dQWB6WOckZFhf6vhcfqIc45tl92NxcLIlLgEI7Vvytj5VrfOVczYhbWP
ZVxeD5XhOJ7taniS0+I97MrnsFYv27J4B6bieH3aREFPvtiuJeacbWEXY77Qk+gFWMMQVJmNIJ5B
EYOk8n1UnBN2984nGx7/DjmTeI1yZ0MmLj5ExTp2Ld5KPUSLm/kLVNPNXI4buRkPkePsItW4IRXg
B13671be3GlxtGVffsqjhXXT4kNykxy5AV45kp6iyrSGVHDg1yaSYuFMP4gbLX3gmtuS05LXN0nr
smo+6pFxo3ckqZBQd6dH6o9eNYf9HK//HCfWRtf6p1zqd20pcNMaJkGomPHoHCdbPAzPJa7/jVr1
Z1UYMguvlWG06AxX1iUiltKNbHF4BzuzrTuB0xX0kNtX3LW8U/G1GSabWKy59WJv6MC027CtLuIw
rw+r2QdfL8WVMS43Fm6KsSCEtdZrT19CZmkpi7ncTegzlpbzf88TZ1ij5NkLD/Hccg9ztYqCsVlu
y6jhqoW9icJhE8r97WJrh3hMNUZ/WeG29ID8KKNlP/Tpe1dOTzb0AdcyqzdZIXC7KEN6X3QBRjne
YdAn60ESO5mhji9ZaeHJ0BDNWd4qMlyBVpacHSG9s6sN9nf6c0d7AkpZtUkVMCPcm9E8M70ciiDK
J0Y6xoEgAw6qHRMdkzjZtnfI8mwU8vaWarnKJ1O90IsUrwpnoGifqY7Q/DQdH1UbG1/QSK2IH/gZ
wu5S7YDFBWZsaBszzOXizqJHSNp7Vy2EkMMgxOth59aVFIrYvAKQKK60eoqe8YoFbcYj5OrQAM8V
tr2kM0nYHSdXJmNUWA4czlqWvMgxpms5kxhY1bEWcJTQ8OmQTOVPttnWewqa0HTrGHKuZ8taRhd+
1jzSBK/L0pzqrZxo6lM6yjIDECzGrDOZUPzJtN7liAwTgpvnBqHHGJbOOnXQDRpCsWpFd3JnZe2z
Gg4RSkxtIVC3lnMzfEmNWOgnmXATiZ7D1Ff/2y6VDzaBirLgP2+X59fq9e+b5fpv/twswUfDFEHE
bYHB0p1VvfPvTr76BxQuWrsczFcY2y9ndtskxhQcAeEOoNp+6uTbfyBuWEEFGjSBD1HEf7FZci7/
tFkibwDHpGNHJBPVJMDq182yqdtcNwZ1uaxWIYGidkilHGjulTHfK0m9Ddfoccajflj1b3IfvsRr
cqg86RetEWY+tSapt7UvG/PJWIAjGqBikal17AnxpRlnmzm0rxgSECCs9CqbnrxNJ+c0agDP83Jr
R86uT9TLRC5012Yd9JqItlhnjniTyp6jtPJdMgti7Hjb00GPTpaZMqrkuODatRHMKktozVqNE2Uv
GyMeJNV+sCrtqlWzS8NhNtyzsQPQHLIH3ho8yaxms+FcY3K9jUYy0g1wrLMB0TnKSsyznU6HOEpO
y9JXkCm4zmwM20Vq1jo88iRT2eVSKm/+H3tn0hw5cibRvzI2d7QhsOMwh0nknkkm9yryAmOxSOwR
2LdfPw+sqVapW5JZ3/skmagkWUlkLP65P6cssF4jXcab1k/0FjW4JNQWZRujHAjE4ydZwy0IkpzG
4Cr/FrEXsPXSStE3u66qIUSyI+wolBm3rh5v1ZDtayk3Y9SSwCOEVFu5OBiTOpl6nhyFxvonJz/w
ljlgmLnnIVMq8AfnvhIJej03w0CTSOaUd1kQZBxSsx1xkdl3VnZj5wfPxZGWmYxgZAvGIXxpIu8h
1aCZJpq5t6bwHTQUU0cgn8ArWJCYjIMak0S3LBAyMbHQKiv0B/p80AFG+4D0Pq6tqLwTIt/DmHaD
mLlCEM2k0BRlGQdn6Alt6zT8kY7YJpIm6TlOpk0V0lpoR9lbLSQ41Ir+LPJzxp1fIc/MdraJbS/Z
EaiM11oryI8NGATQbYwCGHUoEZM0m4sX6ZRB87JD6dnrcbFz9JZlrhzDTXetsvNqX5OewYgzeNpR
OPH3SFPlxgsz/wiThs6lvD5QA/HQ6M6yPxp7SyvbAJPNpok7e9N7cu31Up2kVy8GlA/FmJWtZjjp
Y/+1bCaXXTt56gyapxPTN4M+LL/2jadv3GY+d3I8F4VuBbWX3s6t13MLi3btYF9JNvAp1J7aQXC5
GxZDCmlLJ7IuLoYJbkpbO0nZaq0MSSFrdqlrnHMH+jpxsJe5DC+9nj1SA44fww4PkVHZO2TfIkgF
o5I6JXqdxPLV1zM6ZzXMRVG84bh8JXM2W7sH9edq35MweVTahIdUI2GRGvp3MymfKJ1baxEdhzU8
/Ne+tjea0J4xPwF0bikCoYkcvqqT3TqZ9dKWsHnJRLlzc5rsktySdcJew0xZ2ZdRKeOKfNsu16t8
U7rOycTcgMDMRMyI7/qIY3CWTC+G+5BpG2vyTmWC9NJz0GLHrQNZag9J7wom+PktOHotMFSNRYCZ
vNOFgdTmm5hquIBjwJouq3WRpBtNc/bzwqZvQ/rq9BquKuEK/BX+FZaTg0tYkNbaoLP4qxtQZ3t3
jHZZMb/4Tt9u26IOHG9f2XC6cy2NkLurczfMB79MvgEkpwJSiDVyhL8qk/S+ze1vfo3G0Y1oGrJy
nyKtlYEoQj7EZBIZg7QbEB5YHv05H3eNhGTxg+T59wVV5z7573fc/y1ev6v6z3vu8qrf91wshS6k
bBtOG4Voiznw9z1XfBKCHGqMdAwm7HY/76fYBqE9IZIzWnd+tC/9vJ969CjREMomzcwbS6H7V+6n
lJD/actlt6JjFcc73FfbWrbkX+6nqrTnzJ7C5qLn5gMVPfdGY58w0N5mI1cA7IbxMYLYXAhrj8qD
crvMdsJlytOOXbjSKzRyd8IChMx9R+HDHOATFCuyqQ4cGMEQexmT+XwvSX/ehvO6OPhRbaxKSNv1
MnWapfJo/BqvtIqJVCHTMhiWKZVGqeDaXSZXeW9ooFiG6lpnrOXSGnzl9rM8p8ZnjNao8ETRP20s
A7EGldVbZmROjOo21/IhloiQgHywdtXNoWKyFnrUAzSZYLBqFe8z07ea4zHwdHuvmMtpy4COAD67
LiO72Y6+4WJIVxVUnaBmrifrQyrOYpn1xa81BQl+tFeK28iwgMSqZThIxCOndHHM1sbclJuSGeIw
04E+tvV3KNdH0ZYDvkD+QeBRDg0TyIlWJGSljcZ6zXCSLezFZliplqmlP9nQUhhk1lF9kyyTTavH
qaZGcaHMaJl6dhuxbEFkIwlpR1FzcJcpKWyfO2OZm/oMUEcGqY30ulO4zFYTEYutscxbG7dn8urQ
816GCsP8MpcNs0HgzfLONNwepi5hh4SNlnqSiX3DaHyZ71Zm4QZew8TA8YtxA5oSEPoyEY5a3Qwo
8fvCHpeuFM0OlZ6ikbkPlj+/AlqUuwK2eUsnOOoaZDMDBjQotAWdVO7pGTQChwG1Kfi3zIysfZPq
0SwUUr8prVbeMz/hB9cNKq26zFb9lgA6OBi9dsMD/uor5G9KN+QxzsTXuuqv6thfqPlWuk4G8x0j
wnuPOXHbtCPD3cYL95wfvhV8RKnqNOIgSxC6geDdI7o0p8LTjxRTPJezf5orNHObEkg1aOdqgtjW
6HgD2oiOJpWFw6pumus2nfn49A9xFH6rYtfbS9MfUWaK+3AmTDIa3ZfKdA9ZhRzv2eoIIjTHMegU
W6/hNBHZCJN6fKTzkO7idL7new7nCoJfAP5JbdrIYUtKZuTpWjL/95c/3sj0WXdCZy1C60ujUnwp
c0e5byPlsTE6csma64IQSlCRmxyT3dior5FOq7GM4/omdWx/NZig9CDrQRwpnuhwoiKiJe7X04jS
GChXpVnKTZinDNrRafm0t7jTksU6kDqcD43uoM+efqg8Sv8EgBqH32VVOea0YlmkiqRobpq0RfKp
qPdqq32qORDZmVmnKXHgMtcEnzSLYyOSMJyJ2KUrjOImS6Cq8l80y75J0YlV0z+KMT3ZdXdUJskg
q77v3R4xuil2tGkDRyjCGUexuO7H7jFRuFew9twUVnebRcOTl+HgLeavTWhRRo+BdFWo9MnpjaM1
0mjQNA8tV6RV1ZHV0zEUrvwcWZmSZFev1baY8MAY9XgV1uZtJqd8A+dr4xrl0egg5kxN92HZ3Eoi
cYF6eK315U2VulXg9c23EBYaNTPz1zxuTIwDHkOYtHhpCtfAtYl23hrlg4qt09JVjkGPp6YN/Sl7
MrvU3jOuZCoEtdvYxGqkYJqp+efO9fcWLv7jFk7b93udvOZ/3sSX1/3cxBfCJ7A+vNM2kJYFvff7
Ji6oXOZS7SIif7rZeNXPXRxgH6w+fdlgEQIX8//vKjO3bfjDnguIhwsMwYK/sosTa//DLu6CHwUc
x43ZgNvj+3/IvLgxVbejVk1Xo1lipBGZ7rlXpWuW4YcOSM7WA2Z1LRuQyQhpxhuNFiUZvKYoT46V
3YVGPKw93GH7WrA6Mn0z3iK9aQLlh6+1yO6zMCtupoy7eDU7xtZc+tk5oTRXynE+4hLPaQYVaiVk
w6wE/CUXD5xJ3JxdzC/CPs9dUxw0Se07zms+OcEI2yJI06i+LhEdVsSgz6nTZiffSeS6KYdpW9tU
LLRc81Z5wTWz8EW9cnLhX1v9dERCOnuqDU8QvLJtpnEnY1QLtw9uPpUiHGm2o+/Ga3PpHa7MMQsE
AYV1NebJtvIAdqB0PueOuJTOKI9u3D1wK9PXYWGptUycEtFs0q7r1HkbJBpfRRxhp+z0Y07TF7qU
UCesXhQwTdzwXFrp9FgXLbXWNIxEjakOXZy+t9FsPBus5rczgt62d3IKQGgoSlbTMs+LfMlgXsOE
7Qy6drTKUT/bQO52SWzYq6junHPturceHqn7QuSMvqYHrWQ5U5a0drqnbl0HP40f1hgEdctZsy7Q
JpJx+LJ0tu9xyrSziOF0uVMd28A/ogNFHmZ2asNJtLuo+MTAznXt1JeYv11vZFlyNQGCsVdaJBAL
g5TvxC3f19pLSS0Pw0XD1exD2U7LeLfLE7bdjJrhXvqXpJ84CqrZoyWbpdsMLz6F2UzaMQf0ws/O
hvLXoEvme4aXlAf/vXrpfJzJq3y+ET+I0H+qjfuBIw3qbv7z+rW88uf6ZSyOHIJIGHGBjn72sv5+
CTFIL9Gqzg8DOfyp7v1cv9zf0AM/s562DT7419445zcPjw2EdgGk+zPy9BeEP6hAf1i/cOuwbhG7
Yh3DmvNH4Y8hFzQcz1tmVTg4udjXHClyg2yA/JLUJpGStF4OIjUeT4YVHBXaQ2WLj17pRCqKYjgO
eWuuihiaWat3+wgPHUEq+Iw1e7iSAHU6ck6pm34bwpp29h7rTC9xrVHwKjduYXvIeJN/Ay300a6p
WKoGji52Np8Jaz9iNMDzn3wJU/OhoBXhwhGHecJIbXm3FJjTyJUcixyInYXmllHP5mVEJJgNv9Mm
320jQxseZOXvudCd0nKctvrIUb8Z7yoxoFBQrZBr1XWPqBNZ1c7WG4JbNqqNW98TQGHWP6mrxnbJ
bbXmLtP9mNRT8zZh4lipKOo37jzRRZuEhFyqe8uftuQdbBDP9aqp6+TQ5+6LEDgzh3EgNF3R3D0v
VVOQALux2FP2g54PSWid12Ac7PkujOhbsjXBW9Ml/SlPKFgv7OgaBeLoeyQV0pzS1lb7nqY58/cK
DGiEA3aYhwTHIxkyrc/AG8bkf7qZSrDcu8HMizeqFXD8mNm0rXmH6eRONd8pNvlw+Xbd9JkqIdYS
i+Y17qQVNPRogNJsOSkSTTCXej52ppXK4ezgkKX4YmoWy/Udtlp1UxXiqhrTcaMDDYNLueSKeIZ3
QJgfLGhkSLb+mnLLxxLt8lj1KY4jjCVOFV7rTQlHKsy2YZKfGtVSxqvWba7v8kFu1cgFQtjJF99q
LMiLBi05TRFTZVVt58SlU2n6ik1la8n+xRqm8lCY/R29mTNWyeGdnzxuRjPn1lGJi1RUtlVighDr
mSuaSq/8TgvPvVl/E3UIeKMWBiYNLKqxVribyu18dGXJAVSfwRsSn8HNUF5HvUadWqSaW47yrN3u
hFLLG8QSbTved6/0hmNvmysvdLd1Oe5bkwyGTb+gGdbPvkVDOajSvZWV/AhEIww3+3ogVN/ZvMUe
DnqtiOdHs1RsJgZ2NLN0773KObVies/jKluLzL6jUy86OXO/mYueQSLmLT8lo+9gmodQ9j2dSx9n
k/t9dAmrmQz81nbvU5Ilmlvgm7zF9VXIQWXt1kN5VC6VQ6hr6LrWhnY6iyfc61bEUXgFDXHkdaJp
m4rwIy/DGyCSHSmXVseZ06G9dRZ2pzk/VYbUNzMEt33U4dUHe+qG8jikRrMGYfSc4tzFzN6259jS
QAAPtf2u62H2oHSunmQI8MqKPEa4+3t3+rE7ERP59/LYffzatK//Ymf6NVwi2H58DsPGcrx2l8qh
33cmk2kVkwC0s58mjf/fmSzxm6CwmQ2L7Ulf1LPfT9aUnaKycRJnKMWpB1beXzlZ2+af9DF8InwX
dkgb26rns6n+qo8Zyw8vc1oidNYtjNHYp4Q1PPWug4ReaZdyqZNpgDZnORfXekK3nSKkfVjtWPc8
KJXJFeaQByuTeSBFxXjH5FzbRKzcnrn38m7rtOGmGMV+GPhPxjmrAeo00Kvnxm4DBxzpyoST3IzV
a+zi/Wi7d8rkNgPORJotITCKkmXPenMsqsEmUl5mozCEJEW3T8t6X/v+qaGEVGHBmw206UVpEXZ/
dgz16A799WAA1ZxqK9nFs/Ga18SEdf0rlk9764ZhF5QAtHc1fMjAx526spzmiI2133pheWoNbe+b
tKHF6X3YYw4cTRNuYzneSkGjSuOV28Ep9H3BL3eimwcurTfwwZRc61nfLr6Zf0djKneTAdcwiRiH
aVP4UOeKj3k3rnU5UNbWpFeZNap1EhnZRvZ0m6Mx2oE7qomVz9tgzzjGdivXEd1BrV1rx6KS644j
cowuTq7BPwrQvivXbq/oa32o4m5HhPE2gVK76WZtWk3FgLHL+xAaoWINpWyMITlbnv+cpuIOlA7r
UgjmsCNVGEyO+TAXyXMmq/WQs54nXuZys0rOFFGd0kr/aJrZ2aczzdRG0k2buMGuL0LztmvjL3HK
7x8xusBrrObAIQTQOdzMSmlam6LBdpxm+GWpqY0Y8Sz5lqkVDqcPfo4+NkRtfO4AMv4aTsXdWDMh
U14JrdfsdlEEF6eS7bRqYXuuh5TXkTbk2F1k1g4TEtkIb3Eb8XdvmHqIsQIcXT6LLjm3aXKuEz85
cPT3AtthY7QMqJJ+MxlBoZkINW2JdUVdy9g/g2V0ObJgeYua5JoG2ucqrbhZ5dzWuqRej6SWnIFf
FDAfhK2831dCvzGMhlrMgay4CE911B0aWT52Wr9TjaRxUG0th7pHaqeaIGp6n9TfsFz5uJd5ev91
rpL3BnFQS8cdXbe0sssqX0lnwfDyr5rcG1UNbZD5/b2X5USajhWch/4q1JLtpPtgwOVF2PLG6GEs
2/NF6xxMyVO/I8durjoq7zoVzwi2KKoO5xse0ISAkBaHq4q5pZJ8UwB8ZQCOugC+2MHE0vuPOEPl
pYgVpHO5fFSz5tuI63CgrdRNxw4AcEXcvfPpZ5T2IRaQxOfQKmqyIGay8qQPVFwbOa6OJp2ONERu
fc2jZ700qPWL26MKsxRDqfW9s1tgp3H2nfDNV1Tmt9kdUpCSXE8jc7iZOoRzyiSwa7ZOCyrHIKJj
d9KoT1QatyfWHo5tXokpe6zQ5GXRHmxZpM7W7OBqPzLK87xdbNVi11lYeSE7Sm6R7ljPG69jwLzx
pGaNq6o3TG+PlR/9E5PXnFxrspi6e18vRHs/+LVmnrqxA/dlyzz+Ws+W0V+yttyriMNfSbJpoywK
xZPEjlaVjiJcR3dNaDJ3zcajZcluW2s1FmrNOdnumKwZrNDPnDtvlVINrYgO08bU+pppDhzrnjyV
0GfnaCoe5kzSosr/HdKKrV7K0HqN09pYtx6gfLjXHziZYWjHisyuHCg7xjnHXIEmARpPryYKbMfE
B/pTaleWrG+1sEP/VS99MnzMGrD5EZtpI0aa00ubflJzPMYwB3Uy6b5bviaZIoaPDNwadrwxkYw4
5UJXN9LrsPHPWjpRV2x8zELnu0T2R9YX+FiTtTYfjWkktGvXmzCq77KRpUdfQjPjesxPeexe6VnO
AGBUrzDrDrFp0uZO3WxQJTQX8TBeO+4CC7B9biIahdrsmOvBted1MnZX4A1PGIDCgHeh3LuyYp6r
9HZnWj1ru0Vyzk/cDQlFPkuh9tBmayYeX4y6ITYEYZxoAncqL/MHfjim3yV1bc5ggOeRnmyTGALY
zlFdirGka1oN55KA3crzsGFHwr3QD3vV5W4BfhFBQGKZKhrOZu2r4w/TBvXgfuLmwwmS21nos4HY
KaXFHWV23SC/qFwdUy3jd+zmr13l0wHRORbPwKxgHBga45j2vfH9RxborV7m56yI6XWNzD38o8eq
Z3CfuGPAjPfAfe6Gocmdb6tvCRsd7HX92tLbE/DnMICMEJICEUtSrj5EGhnGqR0ivHQYo+MsO/j2
BMgykkHqGdWusZMhSKyGzoHuhpPIVhotCU384lnF0bpjljB1FpE4veg3uvAqSiRCwDcRX3W5qqyd
DPS5RkerY8TeoeUNpe42v+gYzlae2x47yVWwcvwjtIBHOiL0DXUB2BA7Z6slc7TTBnHKydIF08DZ
mrKX/BQJ48YRzMe1Bh2mlXpxmI0cZS1kPDGZVRikLq00VnKDg/RJ0xU1ANLDY5GELHD2sJ8Lg4+E
7d0YNTRVT2DsdtT4RhztC9S1SyPdNxjKbyPxvLJxvqos+qqi0lm3mF3CovyqK29vIscPnnGCxhuY
BuZOPY+pdx1eoyLfda7x7iMX4T65nYWLLbzV76W1LOKaTZKijv/2gf3wgS1T2v9w7Fb5q1T/4tjN
q34VhOC+w6SBbP4jh/X7sdv4jUg2pDOLVpjFC/0PQZtMN5EtPlkmGo0rlmDXP8bSjLBdHa0Wvuun
Qv4XBCGM0X8UhHCCAcF2yYqRKnc/nWK/jKUtr0hrPkfThVFtfeOmnHUSUbpfVW4Zx2nIsmc0THfr
tb1+xZU7BHPXx1zS+/nJ9Yf2PtZVvgNqkZwcIDYbV2trMi9VvPEq/TpfjBi9KcKzbfv1rTm2vL5H
RF132GOgYnNj1jg0jsZc4fGkCgAIeUZSQpe7VOLx0Cf813XZjC8FU+ajquKZTg7yjlw/J069XsmB
enryjSqIc/N1Cgv32HEH2rZKG04yo1mdQTJzOTrtscXol8zsYGUmGfXzTpWt4sQm1bEMt32zxRCU
zsuamqbv5SSWGKws1pAtoiX99ByPUUj8qQ+SrDwyUfODMZXZwZh95sGWa9xEIsIGPR2Tzqy3Vilv
bQVJH5eYtmudaAYB0ZnHONbdDYPhk4A0fkhay1/rcWztslxam94wQoDsvbdiz8bsXDC8DlV/O9eY
g0pGiitMUPNKs+0N3ciKBdi/Tkkvg9bh3dE6Lb5LhpIK3kSIS0O7znpyh5J++OZICu2FUrIRkg9Z
HuTIdANW/hhH1dwGYc8fjKWuZnyPyS3E7ZZiUJ4W+9uID674NMQt1rh+McmNuOVIrxFc0SPmeouV
DvE+yPDWAdK5hXRkgi4edwbuO+OTtGItljyExgu+rxuFV0+PGpcjc3IocfGNi53PxdcXLgY/Z7H6
kQKJMGBxCHRlcWrwA9qLMbDBIdijPaJQYmPOFvsghquLi58Q7/+ux1+Y4jMs8RvGi/FwXiyIDGxv
pjDdzngTixnrsoNb0bfgBM2Lf5EjWImf0SNCveYmcaKfhq/geSyM+pu5mCB93JCjS08S7shqsUmO
II2ooGA40X56fKoMDSwwTKd7szxoBcyV6ngbqvHsD7LkU1Ek2Vngje7AF7HVlj5t5a6ox3PkGMnh
bw3kUwMRhEf+/WJ89fodwsafF+PlVT8XY4IqAMKQvvEAIYHYv2og+m9M9gjdm6yEFMbwpX+o86yR
vucxY2Sx/lynfy7GxFscgi9oKoCUeUL+EnUM5NYfF2MPwyQ0AtZinXHm8kv8qoFgfpwaoxXRhbK/
rTsVPF/N51y9vjbb/AuP6apkKSP9MB1drqU7WURXuer2uhDAo/oqGHy6KU1yLcrNTyNDxdXsp1cy
7nW6v7RbmUDQapXHfajIn4i9Zasw8bkAJuWb6Eo0fQ+oIYbXXvTPTl58iDTb2EaL2zGKXxw/X2v9
ED3hQtBBXGSnqBjCwA3tfs2vrag+SK4VxeCcSI1nTqOkxhNuMo1pNeuBzo0tG8BHPzTvZm47JN10
Z+MpblNFndyrLL4dI/k668MTLkV6E50IA6WdzMgO9tF2NHvdOYT4Sz9m6XfVN89O32gxumYBcoi6
8U/s6ibbNKW4AWuAch5dqXI+pXDadtQg6usmMW7slLJgaYJVSjBoDF47Bjlj451jEb3om+EtbFK6
ebipUxXj5ds5tiEn6elD3083SQeMw9SZrTZAAc5D4d83BU7EQuD4GeptmlvFWvPnU5z7x7gdT6WK
9cAFtb2y2v4QCdxZkcJ/RI2TWqnO1jhlNh4LjD4/NpmSe59+o02HFyugd8w8MmRNt342fuegTGlR
H4tAl3oEvSf1diYe100ZmWenEofKQgIiHhveThrVjSAj/O0U6Tq+CohFlBU4gexkfKscDeIEZMjE
3aq0epn0ct41kcnwt4yLbRZRqF2W1taVdXWwwn6iPSLEelPN8COku8qj4o3bHeTPRWzONavY5HK5
QBXhS+4OGGso52aHnNZ8U6IcXkItF5ZhHfk6CUW7WcrIj4ZR3XFQj9euAR0sHW0eyM61GQ9Y5r7G
NhkgK7/R1mWuSiIfbHtWDrhJEilCHaLT3oC7OXlXbsH+6Y3Oe132igCJuIaqJQOz5VG2rXRcRz1m
9DKavEBozr2MzZfezSiMAHTG8cHN920zcsOMhnvksOYQxtMbaTXklIKkRhZJb60TRllXBK04lHAp
t3JrrxX2s58a3/RM7VxtBGM/NldaoZW8zx7QuUGu57j6NvnWxB+fEqq1bHznlsNMax0XqoNNTtJO
k81Y02RpDu8YZ76MEZ95g12dKiUs3BMO8Qmw4I07FM9sIpC/PdLRYQMKsLKnpzFy0CzDgb6GhAvk
ADWKVoopyDL1hQL7YTfkJg4ihfmgJgok4sg5YdKqVhiHkDJt+TCr8FI75bkbmRV0Sn4kbXVvmKBD
DO/EIQ0HM5i6Od4ZWXGMNbqxUokXbkoj4t4dFSe1dacrp18Lvu+2GmmQNumWwCJxUG5kwPvmF8ex
1wzWSdf0D4djJAHOZWmyNiospiNu5FdDJ0n2GYmqxnYAp9g7Rzrutt4YjWiiqdu2XyTZWAKgcQlL
KNZqdW8OXfOkxnF4HkODmjZHb/p6byae/RJlyj4SosujmzzKI+58lWa9hOyz4VVqJ9mu8LN23fnh
FxFb1IqMBo9GuFyKeV72lqITgbhwHgw8dxsbNBdJAv25szpa94BziNDZx8681IfAnuNSLlcce2+9
eb6MssPxRW0gtLjiJqcj4LHD0LIpyoTlCZlo00XpR1S7t7Wjq7022NspaZiGYGEMXEZ0pt9+L6b+
qbLVvOVTvPPC+mn2IR2i3tz4VnLqMhoUylJ/FUvtoqIMNh2KOzGIPGjbsNlXuZbwrIWXKdMN5Kks
w2CQjtCBBpEdpDKoaTPlKxhLdBMDIQ5y+jnJ0m+GN7AakHd2ja2EqLSaPYrcLIvPYY50Q8XDA6lf
ggbYUnHTYbmcd0nHrb/3LhETu20/pR+OGZNLaw+hZIbo5slGFBYNPh69L3lfkSYrhvtiphA2Dln9
6qKIttKkDW/CyY4fPdmQLfvM/O3MXhdBMVAvSePrXZLaPgNT9xyW1Y1qdCafAwIgkEcEZgOMkCjW
dqRtKS9pAt+VJD7UjQLJopEbCJTufEm9/i0F37Yb0HmGcqQzb2xPYTl/sSu6KcrkgoxVUITgHMsQ
hxgK3zahAqpsvBedWDo8KxwWjsaUrivEWZoJih/pZIxpXIXce9dHTxeG9e7AJdgOM4ut6bWntGAs
W7iZw/9x3GL/OFqtR9Vfgg8zqd2D75Cc5vKIP45iMi25z8MCYAhNcBX/Wzude6U9ZQv0UociWneq
Zbnpt4WI3lMijzZuTKXx1bD0Pto+/V424lQY8e7v8+SP8yR34f90nqz/FZllyWv9PE6S8jItkB1c
oO3/j3L9frdnpMblHc4rqWTj8wL/8zgJmcUgJM2kTfdt7t0cAn8eJ+G1CYu8GL4MZylD+2uRaMFw
7hdMNbaRpdwW0xuc3SUbbf0h5QVlCiOIBqmJBtanyuS8k0+TXIqlaIKdMcJWzk7wENmTFlCE+VSo
JdXbMQAqfOch9awrU7WHIk03Ve+Fzdp1C+lvkngoH3PlCyZd+m2k4dJuWQh9bNip9s2gpBHNW5h9
fKIQqBgpOdW51DHU29PKmWyKLu1udcktlV65+yFzZlyb08W3c0Rwaa7LmEFGNaqHadKecJU+mhyJ
VrrBmkzW9+Bo0yVOvKNwzfUUN2/1bOIekcMqSvW7MjVQCbUno2/A6JIiozwlu+pL3CxdKD+mGrdt
TLkSntRoTSrS5Gw7XrACvFY5hwUb7swaz9h3yhxn7C30afqjt4n0dgg4yYktvDE3JIdmTYdhVFpA
39NJADcxwTV0Ij7NnRsQYHKDvohLFoT+VPfll1j3nzXLVSsvx8wKKJcynKcsmWcsBvNjW9MZ2Yny
WoQDe4X6MHSxpsP2zu+WE6lZnMuoOIhiesqa7kT8/EOvOZLq2kTnlWliyE1AV2pa1gKqyvZVo5Uo
706gTYpRvaF3gV3G3sWYyimYpyoLgG5RFIlxv/VxoKsUzGShT9qG1i9IJbT3BFjM3+hBPUpTTDuS
NRjcRxFIz2DFMvcMcC5hjhnO1JPpCkNkVTIccrpi19q02a3svDggpgTc3q/akTmVqRhHxrLfWnr4
LYPJkeWjtrKYOqZyfI0cimyXoZDKfYkDATJF3ANGNbVXvY7SgH4p1lYibKLx3zFGelceb+zG05tu
a3Sxc84HE8ClXAw8oXVttIU6CSNa6CR+up7rbg/IYw4aJ7fYhlziPIVAEk5aeHGVc90lHouqdUCN
edJte693xtPQM0ChJlBf054krs3SSM+lZHQYMV8np0YGN+xT5qUj6GLT0sLdJIR+XY4mdBYqzvYJ
qrOP0WEaomORNeFqrIxXXK32GkdmciGaOTDjtcjvFeTFGwwdU5LDKpXfpoY2sT5B8NVI97fZJor5
e6bgji4k6pkoFT9W9x82tpsfoKb/kl1xo7A0Nv/z3/9sCMNbRr7PBMSyxF+45C6pmV+vnKUJ3xq2
h7jkBfTX7zbTzOKHIPFXfoTPbdu08NgJnTLsf/4RUxmNDfMy68LErstupvJB+j+KGP72VC8Sxb/f
o567b/9C8Vhe8/sWRfKJdg1ch+wFAl/uL64P8ZtD3SbkMHSNf/Yj+nzFZ19zdXQNYlHseT+3KO83
H6FD+HxJ4KbGqvgX5GeQZH/aolz0bTY7Hj4ewj8+fnmLXXpUo35pU/WVgbsNN9zUTgY1yRzwRImG
Oqg9FjX/esyoeFY46IK2sY71EjgYJLPIxPIJ7NQYjiwv44A7OLueVEnujeVVPWtB2evAkb030UN5
NIoBwReK1Awf14eTm7glyEJgEV0DV1z6XD3dwXocoOtaZCofqigCMFWWb87gnVRXPtbCKgOL4DHx
zeotX3C9agH3cibdjwvKN4IiJG85Nu4gm1s3mumcQkb0m3bQQw61Gu1XYun5zCtUyfbV7aK3sOD8
bUxYqiK8vQdm1YsTWrsDBZrf+OxPq8KJ/RVdmxR3T667Dvk4keNkp5ThdIMHsebya35vEuc2tqtr
r03wmsXZ18QwH1rll2stNd7LzB434Rw9YiPeJKjPHTP3VTGLfVj53yGcSLoZ433mYyrR06VE9rmQ
0Smd/QeBhXBlz6Q4akN/+D/2zmM5jiTbtr9y7c2jzUN5RAzuJLVEIqGBSRhAgqG1jq9/y1ld3SyW
aKs77hqxjEYkMoS7n3P2Xrt0Ykjw3IQ2xDyb+pyy6eC+T11DVLzTvLgDXKmGLEIqVQb0lrh1U0vn
2B9dI3w0zPvJVj1ME4nj8H3Yz8qDkPmNO0fHfiqCvRk3d2gG6sVoC3xhddZQqFD/S7xjIIRWzpxQ
iWtah+TEMxBBem3aUJcUdbbGcOxePKOctikb1qKX8V5HEIpavP40KqzJ3uwEVw1MMhunDRG5B5Y1
Gd9SmruUaZKudhgb3k0a0vtmOEiDLAE9yZadbHKoDAcKzEuY1VAoUvcyaAVVOLxcgmsLwuOxIjc6
8JXauCkJoF525lzDmkUeqlNhowYi8xFEI+217k2W4VOSJB2iY7zfRkjTQBm0moCLm+Y4092GGUs0
UXMWHxlSwY6R0MHKtavult+skGTkcMRUPrpwIDEribY292jf96XMDmNrE11pXiY9uVgmziQvRVoh
ivhZDP6jnWnNjlQAkuE157FuA+KtdYP6yiAa18XRVFWKICnEXTa1BzFE2yqJ76IoWMsufR1E/cE4
p0Dpj/Zqavobt066Va1EJIXIz7bLxbUt7dCnJkEcgnyADn/NKofTh2L0C6Ync9W003NJDbrodXLE
Gk5xRTuTLk2Sc+LPgkGxgGM7fIRc67XEX7HMJbaqwihfzLw8exyjpFts4tBssCL4X1oxbJwaGo+W
DtWSbn3BPKIjGjqpwGqRXpBP9ldlxR4q5GOZG58qvzaWUZkxRzAMgnabNzeujhmwbT2Zn3Riyvn9
UEArfe/gge/LwZcZ3SqY+4EM3eTsVqo7MIu7xjPfptYrL4EV4vhDMnDQkknbFxmksbyPTn2CWLjT
PsMyuXNlTg0P6NQlz0C1nBx+yoxxYJfRF6l9+GqxqaX7LDOusTDyhWtaKBD0hrlP4SRLUrPoDrlp
D3vAuWD9plM6FOnKD1Nid4PxirMb47ItviCN+2ca1X/3WZva6c/32YeuSLss//z9dEH9u1/3WqYL
SmDJONcgUvG7VvJf5aD4B7JGhsAYlCXFH9vwv8tB5gqMeXVDKqqWwQHt173WYRvWlRYS6DecDrbh
v7HXyp+0/78c9VD/Sx0kCRu3mjf/eNTTe7vONDT8l9kOcX2iOO4LezECz5lZbjY9Neki9tOzVeL0
sU2Ls7C+jcr2EnbanuKOqAMDuSFYW1M/DE35nnTWK4GGyyRvz+OsnwLP2s0hYIVEK6Zl6ASvzZRe
0UUka5ll4Akk6WLhVC38FBTNDPjmmE0pq11Cg9zNWnQoZgh5tnBpsWS3bggZyitYXGdgALWXfDAD
2Ji+zoZXXMraBjHhxS/EByvRmLy4Nu+O0SERJKM3uiD2+yoLnLE26i5Yho5cRn2iU+26p7YlytrP
Hsxp/Jys+QzR8INsxodhosXF4GBbyO4obbUq9fJiF84hbVPsNqH9aGraai7atyGUG7qOPXhRjWws
z721vPqYZkA9h+QmHuJNSVwwQm+U+rHDzqXX2rPHxoF1p4ScEp/CeubNL6ejSUtynwOvwE8165sQ
n+9Gi723EWiW3XcnC4XlTVldRWFusiRaT45+IW1+05nj3aT3izGOEaNSxZp6CHpEe+kt/xkh6EZ2
rOVePzDkTrOPaOoeGbcyHp7ZnzF33kw9l65KqMdHf1w1icyeKmuP1t9tOTHRpDMrp78JBIzVgboX
KvawnLr+PpziNX+ONpFEP9lW+VPHr+EzKsfVS+yzNRRbO2Lvrl1izNFF0b+NMaCS0RILN8XU6rKG
TeZd5CJfG/yvVsVkJJLywSrknYYxcKm18uQRBQOwkKz1sGQgFNXhnQb+wo5b62QXKHDGKn5w/fyL
i7or97MrtpSvVIJPgQdrApshAGe+1K70deotDSwWI9lgiTp2Y1rKA+H4S2BxhANG3Wr2FPQ02QqL
hDXDTNd5NyKcQifq2mDPLQkIQzjlS1Fka09HAhXaXO0qbSISZVAp5CNRJmaD50VD5byYx4n8Sfg1
Zxwjj9WM9a/s3KUlYjbJCBNuNJISknV5t0jr4iiKMT2hHt10bvMSSefEsPKOfmu0dCIvW2r6PG9x
7Hec9+gXeFPOk2kab2Ve3bs9N94eAnA28w2sHlJaNH1l9jYAVveuG/zdYCJy0n1/74B4W9g89Av0
3ptxdtMlNBYLHUGCy3sAuxZX0E61eXoPzLlZ2o0WLFOu6KIlJqLttZVI5BrgI82NNIsu0AC3ADmz
9ZTcaegDQ4VzDOZ3dr/3tpcPwdg/JKkOMMO9ZZNNlsjqrOVg0AMwI+1pcrV80abOOqThH37v/EcV
6DcFSOtsKvicAQH3dTpYjb0uGEstEhdEt6FZn2rkkgrtPIqWw6yLoZ/xynsxR7upbO1lITOs2k5U
LhBuOYupLkhQqug/O0MBaKfVtz7iCTWy5/fpCV0amH4iQdG/GSlstMlOCVq14Hm6qXZXdeKzyXgk
LJlFGCicx7Kubpo0hDOuW5805C+ONmyaGEC/ZtBngHhnbKQeb5jr1SdfR+KQW9xtrvixyvnSKJr7
Zdfmr1aWFptCYw0OItcDoVpb2KiDnY9Cd1fo03slo2LrsTRaCbJfmKBL1CLnuQ0vjQpeocGIyCMy
74c4owdmYc5pBNNO66GcWSsL/V4P4M/jFkTdUjjvAZqPUoYHgy+3GiIGp7boHjU560s/jiqwEeg8
a5uHmrbFay/n17qt7sLGAp6favRZ9E7BhxPmmd196dJ5rxPur6kVK9esYfNgA1kEWf0R1ylLBRDb
0Luw0G2DKswWhtU8wG19Soz2ua4ULSLpnoEViJ1uDPpKCIMeGpGaq8gN7eUUorgtggqei27u6ya+
z6W5nUswzn6ivw4JAlEvjTc20Uh4JxNlXCKGrzaeenkdmsPsvwzR0QrNaw6tj17oE3SAx8jMuDXY
P2VeENeEbqNM9WYnYvmps9Cv9dG77SPJq01jZ6fZyDUdmD/r1Ik6ak1rVXjDifnSXe8ZEA1Sll/o
RvOk30MePoYFYYCwX58dlUogqvZQtTe9RChuM1EOnODWQo28on0abQ1SmpZ2HT3r07xN0zo+wbjR
N0Cnzt7kaMxUumSDrxZyh25SWJQud8vP1kMZHGzanPS0XPRQehF4FTJIE5jRWHwSdRGeh7xdWHC5
Mtt5jjmGbus2wuHVVvN0o4dMUMKG++xMqOcDl5AJ9NeY7JqD387eRcfLdxGzNu+YNlr7HnZ3Woeu
+45cedrOI0ZfjMjVms2D4TShFhlJCUaJXZXkBAlhM4HQgtyXzBmttghOckpWCBW5YDXaLiSDwbIa
hUQQn+YkPv0J7seEHnMKR1KftFVGjoOBDInwB15JUy9WyZh+GSPqUztgHCkokFrfZHkI5Es4Zj3t
tzZeD2iYOCajijLIIuo1GHswiAIudvmBRl23fDVy3mkaeaZMXy5miVY3Yp6zRPT7yOVnFye7ohzj
Q8/RelMCnK4buY3dBkOV6eQb+J6wE0FxrUhChgddDS95C+NoTO9ta1rJ1H7MPKr6KkZjNCf7gUiN
OkqRw+oZWuBxo7flg1NYX1hcb1ukQUuqTIbRzLhwL25Y4PTtYCntr96g/sfA7FCc5xJNmkfQh+PV
0yLxQ0DIXjKt6xHyC+t+umIgSbqWbDC3gEMuJWkNUWG8zw3VQzoMWyeKWZwJG+GQ+1ITPjI6qbMs
Mm2tE0tCRBJ1frzpB+OOSe6RN3fnGIrNQKBJCVUFsXt6HnS2WiJPIp/BGREodqm/DCoTxSYcpTHG
czFi/BsiT4PBAQbeI0oF/ih4JGqZOTrUVn0eg2BTDkayoulKn6Jkj9bkI23u8zyGC5FHHylhLVWi
p9z26YSrp9sh72vX+SjPGYPEpcxYCAl9EXYkVxUxMElhnAZiYTqVDxPYaK/kzLxvyDJSTsS8ClSe
jDagTe9VxgycdaA3lsHMIMMbXzaUXAi2do1Kp6lF/OEMnGFcgmucsjG3Xt0XW1Jkm1NWEVhTEXST
xo7LouQj2PO1rZcNMWdOv+XlslN3th5kqx1k5GRbGRZ7j9MWWrbSjFG79Dju/2t3+0V3q8NV+PNy
7BjlQfP7Wkz9ox9qMTWZ8yxaimr8xl/9UIuhsKAQwm+G5JV669dSTBKMwH8IYiWpCoZKQP+1FFOw
YnqkDpWd7VDjGX+nFHPon/52MOcpwS/zP4xz6McsNbj7QXSLQ0lBAdG7kGhi1o9AS9Msp0OR0SQL
NcCfbtwY0blxE/Ol/AUNCiRUYI1gdAg2tP6OEG2/40Sn72jRrKgZnTsIIDk5NTHSj8Y/DCagQky8
xZxciyx5LhELSD18GwejXdIVvpkkziort6M13lm2pyr8wBgjF4bIDYWvDwnJASfXdlsvj2k9GMm0
GszmPtT9l9IDt34EmzSjjwqzYHxKiBrBWtrNWyrNpCRsgZ8qlwV+4/xsaZPcTSQPRlbkK1bkQNAN
NgUfm9mHQaRLAEJ82crMX+plvmlGhP9FFu+qWNsRftcuxjr/EGYdb1MN8eRssZMH2hfjjMf4jM9l
NZpUDV4KS9JP/Qf8f9cMNb+H7Sier3orH4e+eUZ3tcZxQj/w+/P3376IIG3kz1/Edfo/q6IGzfb7
l1H9wx9eRrZa4GemRWqz4dJ4+NfLiMHUwhwOMoS3imDEf7+NaDUhgwNtMUh1NdWk4V9vo4o8g14K
5A2cAYXs38o1w+X68+vo8nMYxvMi0r3h5/72dawCf8SC34Nms4qnQbGZeiBNmgnx3omb+labFcEp
k8WLbdHwZlSN78OhmHWzmY631udouyd8fnNOGxY0FAFGDnRmlx0GccBmJj92kymWlF37NWLxrgCH
6fUUIjCnYuBTlAIS86kbHmTpPHoAqoIwzDdSWeQc4FU0dwIyGJ19G43PPkoWgPvlPdBBoGBa5O10
EXzJgWGNpjhqWXdTiJDWpOJliTrWcaSzI5fAtFJauZOiayFfP+IQe/Vb49DKsjmGjExEH6SboOLs
2w3s/xJcl6wTbdcqglc9gnoh1+RTFvKTnlW8ahTvqwH85Y3mS24U+aHsUnoGwMGMPrwyYiabNS6/
eHl2SWArEC3rLLWQnszTGE/BmkH3FoMirYJSvqcxcNUivWY+Es/Zzj4h0KxH5up6kZZb9vyvuNfv
gIUHO2Sr7iLr7WCdsFuv4kiT604bL1j6sG4GxlPku7gOfHB4hg4aVUcpn5eDXCDX36b9sDdl+5bR
fVpUZguWleyDebaGoyumJzeNB/d2bIbgVLbjjCrStWrvxBD229yFavrSx+sm7izOywqZoDiPWRQx
rolib1+qCFIzMR71KITkpSRiBk7eGbvt6yycRYmBzeseOpkGN61KNp1FRsgpzq9daRcIz8SdTqrW
wiRrZpETr7ZIRPSkYtdAZJKbairrgxk46pBXolco2pbJf3EbxFiLJCRRjm0PjgZDb4jh33XjThDS
anU5l3jKVn48Ppd29NVBVOBrMcMjrIqLoUZ+5Wjdu4UoEhKN+UoN+6aVbCV64GxRMRbMkuKdIYL7
yoH1MBImqxmIJBWWfMpZekmczUmelb5z1lUUrUsmbTbn34QKqe076hapgmvLhEFDT5atTqatjU2a
E/9dGranicxbsvzeWjJwQxWGWxHNWZGOK0jJHUnLnQYSNyvfeAoygnTD2n/wSdZtY65QaQTWBmwC
GaPk7+YGLUlneIS+TGYF1HIMfAySnEh80OO7G+r4JoAcb/iKXuj0l0G37kwV+JsxnKobfc/JYMkp
4RBgvejkcCxJCg6m9slVycG5fdNbNvqTeWfW2aIUTCSSZnqxOxydcYDwOYk8Y8kyh1ag0jjITwWJ
LiM5FX1Uv9QkGptef05MY09n4Ak9Ll43tjN1stzT0IyWPLBiUWrpXROZH6VJerKjcpRn6WKkZltP
VcYynH0VccJcBRD4Dt9ntIjLLN7nDr7wBrKcSmxWKy6rlF6sE+Kci45unFG1YtP10zUQSPx0Ue0E
l4A16WpO8hx33hdGtDxbjnw0JOIfC0OtqZKkIQ6Fq0ItcTXGXVx+9wax06nKnzaUC6KpigN2pnSX
YYXVVVp1AFJ3KXneujm414X14ahk68Bwz0kfQk8JNG0TN+kdMh78dyoRezKcDyNykrWu0rItUoAn
E7JHFhl0pd1pgwPwW93O/n1czdRMtf6Qq/ztTneiL2Wo3UiVzV00rBFR9IyE5FJ74Q7czLd5BCXZ
gtxahKVYJlmFwiVqbM1bMFPJnrNAc4LzbATU6BIRsaXbR9utHzyFiqsVNG6eizcaS966tHoTOu38
4vdA45y++eC0Xy3nrr61ovQmhEZnQqUbodPpClNH2+2QkleTBBbUlda+QqU7d57WLKSC3MXARlyo
d0KrCehVIDx78AkJmLsHE0YeLqhDCjMvVvC8BHQCv838ghj83FTTU2YP13KIb3keuAgQ+DJIfDT2
BVhKshx6HFSd03eL0Wvvc/h9OqprAc/PEuNjbngLH86fhPdXesyuXf4wKhSgk0qggDZ4QIoVYxEp
ZGAujJbkFwa5UbnD1bqrFV7QyRqWHdmyEil+j4IQQiIER1jG+1kBCrVk2OffkYUKXpgrjCH46wiY
C2jDQkEOEwHZf1Dgw2CMNo5CIf73VPZduajgGX9+KruljH//g/pI/atfj2SG+AcAaJMaiKGUJ9W5
64cjmeU54ECE4aJUVPrEfxZIID8s/goiiMP4R/8eRfdrgeT9A0cNrhr7F1nI36OBwO77+Uhm0YU3
FJQEJD4TTvX3P1RIFvFMuQk+7WKnQ5vskLgBfHWr5MyAioSL5krn69lHWcWalm6HwHvWVLRIBkPA
hrnt+QRKRgRa122J1Lmor7zaSLLEsfMR8mbj3hyb1dzt7Fh7BexEYgOZ2cFFjz1MI1gylmxYHhYt
JjRJI4eFnOavqYVHeeqw21m+++pYfrp22ZE31tCSHJXt6GsHK9Pub6OhNdf0eSP+XhznnoayYZpn
ACty0TnpU651xG/U4jMqm2/DbHwlRw3SZ5eEy9oY7zN3ZDMbrddh0p6x9csFuZMQBbDh9zNbnJym
owZLUKrUZjzsM3404sfRevKH5pvtczrpZ6SRvU7gIypAtNUUWj7oniysq8VcmF9E8mIjHGnkDFuV
BPKh3snYC1e+09aUeMNkERcrxmyBZQLedmlOAx1Ys/Xe9QhXyDoaa3BWeR+ikMyTHUpA1Ttmx2ut
sVwLhhQLTtzjGg9iuhHTlOxNAxodlBUmZlMwtFfmgAg+57S+9oUZb+kCVew8gMiNxgdoorC6YYXX
IMtp7GYVPugZmDHKkmFt1aT6wShI1q06k8FrzfC0+2iHnGG6mkCdF3EXi1VM/llYSPamlJMcgRnR
mbl4vBq8rsH52DvbsWbZz7EzNKsKPMpCC01/qyfdN8Mjea8KK0LSEg7/HFg+eoClGCc91fjE7q1X
IJWjRit21CefnsaxrUMDtM5LHtXas/bE/uB1sOP01jWBlelEazIYnSKmR3AFrdTk/No39tYNq0+o
NN6WVjNS/1pLb525CA5cOUKR/SF/dynKoVhEYucLBXvBTbHIEa4sTL1N6hVOHKBhtZZ/lFMeLAps
TovGVrFrrlYfB1gBx2Do6q0XqkOpcM1t2UrmW3TE8JPYROY41sKawm+6ZpnbBi0ozbg5M7exR6Ze
jTHuQ2BgJJAvAwqfMRShwc/ckO0QjsKg0/HzcyCzeZd+8M4FhxoJwm6YGQuvw9idBVQud4T0Dmf9
GwPSaQdBz7gWHD5XgO8aOImzqI8m+fW1GB8g1AY4rlKb7FZiFou0epo0L1iK2Vc+3aEA1U/Xsm9e
sfk/pwXsFJ9Yo3VIMbbus6JgxugoUlf8pOfFbVw10duE6mdhhEF4mjiq0Rpn35q7K5JJ5mEyVaG/
TrX3OvkZpv1bJ/zNELghJGDt2xC3qskZvZpafEit9GWEtbk1Gw3kS1arRcQ7cyn2HfjFgvdU61SS
ReY+CNe+rfTwUOIQWOR1ceMI6wsigOc+1UZMM+NtO9fu3q3rXTE3983sPVah9GmLQKyvunrdxxOZ
y340bU32xiViWcIysvxIpB4JA+FdgBAYZi+DWWg51dEG8cEkmAN9buzYcw+J419cczhrI9UsMCSX
NyUir4eHbYHelNTG3Is+gE3nbzJp411g9nScrc5krupZB2RNNucwUCCWnX14jc2aJbocMU51C5j5
XlK8bmNQlocg73iVYRSsk2lwVbJVu5wY4G7KkTXJL4bgmpEhumh4Xa6denlm4ftMjvjQtoThEWNC
3AoUY3cp9rGVazQ989G62zYxQB/NHr1taelMWWIOzLECDArfmbZjxxza56S8ouFqrb2ZNqus7W/N
FMyrxJr3JONeRI6ox4xPNgC+tTkIA98cozxTlP4msRRF1bHBzwFvWFmAiHcGZS+hh0TWhWT7+QTs
bA1zZKnnLLQLM95aYxgKFFoMIGQIvWYqWaVE5dO7B512teuejM+euJQOLBAhnPiFCUkeOOW2KMoy
UjBYprr/HnX+mcRDs+bPjzrnIm8/68/p9/0ng3/3w2HH0JXOlbQb1Ur6sRms/4OzDucPKUmw/R6T
++9usIecB+svvSeOM/9qPn1vBaN/9Tii/NJA/huqHA5OP590MPgonrHLYUxBHeib/XjSycrUKiY1
nMnMud+UtI9WhXBeHTqVhdM940l6TOYrfQfmhfraoK/ZtcGjrxqdk2p5lvQ+K3qg8kQB+sUcksdM
NUgZ4sXbiZ4pEL6WIThMWrqpIsixMnTFxgaCCNSHlitdmDciZMoPXbVjTdWYjVWLdqbkH6Ja7kDl
HPKBrSM2w+fMLk5AHV9nrWWu4dZMfKr3KU6u5G6911J/GXswVrIdzwzvCka4SbEqKxUnjbXERrv2
PAn3LcJydcxL3V/rAwpRUcaPSZe+CeL29vjy9z7b6oYA3t1cGW99k914NNYm6dx79TZhP6k8csdI
qnnswujVjTRg9sVzU2vBwTHKlddYyyzvb3RaSgjkb8YpurE6cjonpeaMwq8FmiYSTfFCyuHGA1aP
IsPYW1Rk9JnDqVgaxn1QnWtmgG3yijSzWvArbhVsbNGCOmQXgP6PxR+JoeE++pa/KOym2fXSy4kF
ZOP0tZPMimFXtAzF/KhbD0V8B8zlhPNvhr4VYrhJ011VpF9rDaBjazTlIqzFtmaUx97W3RK4w0ya
+bwgI3Yb5uZnG0UWach8Xopj1YZr5zn1BymZ0aoR8hS6M0Lk+J14UE+ZaU9DG13S0rvJSmslY85E
WDdPQ6AIGhR6NicizmqSnRY3aq5UWQiXxyXxPTqCLAtgqwOWOopImWGAy8MWsR20GUbE1nm3Sw14
Dx6KrjGWPl4Uhq7TdXAkSl0dWmhlfpmMmCy6Kr7L9Sxehdw5WkqPyLkXVZbWawEM8FRp+j51i3MZ
j29YhZ7CpvkoKxc/xEDi3iwlJmlOcsxcERokcbsn9KZY9VXyDPtMmRRJ8ovC7Oo3lgl0dNxBxio2
dUA/Z544tScFx86IrdNxv3E/jkxYLxZkhgTdiq2nYpkhSih7dMJTat7Hc/6WAjJp9YFgRwPlcZsf
GIGfREbsQdbRUBLl3u3dj7gJ9l4YYBpHICpddGNNdF92Ghh8uRe5EgBbnwC794kILprI3/ImfZQJ
zbZ0Hk6WyWGnK85dj2enTIg1ZoQ9+lDtIJ3l87ArvWKv19bGnqxdFZALYgn6r5N5LNPhODTiVoRW
uulmkqiC9mVw0KE01ryJaujRHZqJaXYOpETf2VF5TKIe/CidmynNOgK2jYsl6nNQOhcOql+aaKKL
HRj3TdE8B+yUkMrPXWitwmC6y0UqFgkvfZKGUIOi5yBxtnZQABmM3D0W4q3sAZxGTns2OUkwbjev
ZDvu0UdeM633icsAy9LVe3K1X8Q4pEtXpOnKM7q7IbRPXY3CZ3Y42uZz9tK15s7p6BESAGmMyPY7
Nz8Te/02u9520OjgeMMmjfrXHEdPY4tvcxOgx4hgfDT+SyR0G8/pDCHtzoiwQafukBLPW9isfaNp
HvCpz+tapkcvQE/nJXuGWvROwQiGYXix+vToBxPypyI4D0DjmLDnHz29lYVWpzea8LZV4d0QBIHQ
ZBg3WSV0uLf6E+lmp1G3ns1Ew78V38/qFsJf/igBbxdEpeD0OeqB9jyK/oLk8kYk2F+lg1d9Gt4N
dDcokIOI9wRkesu9qHV7k3cBgms3eyspGicvQ4sX1Uy6421CG3vVSP0J2NCh4pAUhvjcOVQhWNGX
hvXgBIgDovkjTp170M3BKberci8C/67M8rOmnHg+4UzWbL/ppdw6ho8IGXkggYYWWZCjsVPJ24YR
fCacnRZOXojj5EwnnYnoRteJdAGPuAXVgsYzDculMaIrkoHYNVn30gzRfZUDcu6CB79udqhZgsU4
uE85Uwe+80Mwpc8tCaP70bpF+b6KBSLmWIljsnFrW8VlaIOHSMCvdWW/09J5284uZacE7K7v6sDj
0ugXDQT/IqSL2XfGPTNHOEIo/FdujSqp1+mKmfLcpOz367Shk73uhip6srOoZfGHCm3kRE5nbtpv
wkpSWFIYRG7P2zkDW4TILxWUmsyRXT1OWyfIvVtXQaszha+eNRq+hkJaB31P6nWXfTAyQRaGfIId
xl6EWGdWpZHSdQ5IMGl3TDMi4HJY2Ire6w9xSkldadO3nIQcm7d4kdBAX5oKui1RBK7tNH2GsWNA
PgLN7YRuvtFDstIh8clsWWfBaUBEcslxzL/EuoMGEs2DhmpwsK8Nea0HRAiluRhSy4W7jf96XQ4z
XBtdOw1mfejL6JZkzI01xqRpzE9Z5d8FVX3sKoJvHVrrRup2a8YCL/5gx0sVmFnrTbPoE5wGFjpe
s20/+rhD+u++Wr557oeJTSZCyNhvWp9Ds9k8lEJMK9cJ31lZnxjZ7vwhvAh7/ITqfcQfj56ejHce
pILZGQPu2T46UXaGCG0upZOhv002Wpkd+o4tGv6wu5K1T1agjVysuCMFliolm/dlIE/2GO30Glp3
AgzaG+j9iIRigLGRjM2rN2T3LW7WviBUlOC6hxzK9BLw61FEw16gHkQ/sOQotDXGak8IyFZLwn3g
VEfgGwhoTdBv+qE22WlNd5O45Rc/niEvBdfR56RAAho8qHBdo5azq/Yzg9epkW1HBuF6HLtj56Vf
mP5TsHs5+ULRXQ0VFt7P0iPHYGFmkARGcd+o3O4WRt1yUnUZkPMZhSdRnitPOS87r9m0MemDnfHS
uxZqTH3cEFO/NB1t4miB/ylnHDmlyUtq4lTSgT0id1l7CbHsVEp7jYhhz/O3cKFvRW+QiNzqD9NA
mk1cPhe6FCszY4Cg9dFXvy5Iv4mHbt2G5s1gixs/MN9QWMp1RD6rBVkvBlzqRcLbBIF/JJLgs5zs
m7bUVUBL2oK65WEJisGGrEJgajiV+tqfpHspcMXkFo3f1CVAoRVXwpBPJK0rWIK5aRqykH07JAup
EfSVJvlqD/F077HSrHCLnkakQCttKJ5He76Wmnw1jNhHtlu9iJ7ji5DdJml6uL8N39r19Z2nlp7K
DRZ9wRggqBkE2WVyLpmZJPimLhq0zhJp5MqQzUicREZ0wkhW+gTP1uL/gNGv9L66D6Kx3NI92qPo
pPnXdqeZsnVR2tbLqPOixcIlh3f0mE5N1o2eRDcJ6ZJWbJHOE87NqfTplESj+QwaNDgMjFq8Jn0V
ETBa9bpLbNILjwbUJql789UNadaX1lUfxujkmWQR6uU+KMWDAWdiLmyGAwP0WVGsRJacqkDQ48db
FNjZNyTiKWu5sQ5M9yFpyTuC3pH0knPmoNpw7cukV3feCJUyL52bWA9uMidmhmNNR3ysT1XqvVqj
eeeyDh9tE754hzN3Y7TW65x5e69B949VON/mPT9Yq/RNoUc0Bpk672C40nHKS3bHwMqEeT/qsUEZ
Udca8qp0sgxypUyprQ098ulk/FDx/WcHq0VRp7IWoOTpyAjwJv+2gDIiIUbDyKNLXGJEzs8NPVvP
uv/rD1E22F/Ms/uv//v/VDSD+hCpw2wylftRVXE/9KMTf6xNrWkiELikq5wFLTLNemiHh7/+GCrR
33+MIwFRCdtCuvuTG9enZ0oVIDi4G9+G4lEzD3/75+NAwYSLF5fL9fO1aryJ6bvM0ks+8KDtXB97
6b+q7z+4F3/w+zuIO7lCXCib7vZvL1Pg5IRv2VV2YRSb2bf2P32+f2olVkqM392GH67PT/fakglR
ByylFyuDnL9M9E3trCzi3j+xp/z1V/mDj2LSIcE0WMQH2d5PtyJ1AzETJZdcRLzDnd4yloVrZTE8
WAL6+evPUr/2T1/rN7dFCVR+eLqEHmU9Dsf0UiJhQmxK3dWuWFOnfvPXH/RHX+rH+//Tl8odQs47
95cPQoacY6EIN+wjaisu/8Ozpn7pn7+Uh+8dpxHcNMNQIrgfvpRpIwlh480vjbnx0/d+XNv+l7/+
On/0uP3wET8/bnNDtmlgi/ySu++x/2pp/4fHWYEzSI9Cp2N/79388BXiKgUFDaX8grbDM4FfTf+H
xcvV4ZxhAeO1kYbx24uEF4DzvdTJ13PeB+emg7Ak2v+wdv3RTechdmzbUui7n31fXpihkXPn7FJz
8JuWEKp0+9pjQylXGJz++o78wWchyWJ0pzNB1Ok//fb7hL5Lky22c4KOOJOsIxym/5+981pu3Eq7
6KvMC8CFcA7CLTMlkqJyuEFJLQk5Zzz9v057xlb32J5y/be+GFfZPWyKFIDzhb3XntYQaAtqrJvv
b/WP5s7k8fDbQ/e/kohOH/3rO9fxR97SyKrT6d+DUl71ZeDJnpjrSkA7VIq7H7a7JmI3lHUo6lDA
8gT4z8CTFS7cQ5R6pgl9kJf/PvNEi6cjtmMb6yLfY7b6N0aeSF1/eDIoLo3D4cauGH8Qb/jzyNPv
IsRF7DWuovxsTQ4p2j6999h69+NssjicCBr1zPzgzumNO4m3idTCpYM3AjQIywOoWfrCaT2iLr0r
S+fZNWr2mxcmx7TzHua5ureG/LPrgk2l2ayBPec5LbMSP7WNNmeYt7qZHQqWnKQ39x6qPWpdHWB0
ymHASDB5sAN7xjtjE7PmVwwDAQMQ6vCUpCT+TvMbRjLGfOC5h6q7T6L2zLbvFFF1bnXPvc3YOhfY
zE7ENFwUQ48DSWsuDZemaYSBko0FnxnVGqk05KPtOzfcUHr4C26aTR5qjx1rMA8DlFQmdDdAPBjy
oHYcf+3njbGeSYDFqLOpXEUFx8RmCOMdN8kVMav2glSi6XYm1SLqURUZZbOcqxGXQGxFZJgLVEm5
Fq89TT5ncwKijVg1+HF6euEUkbeqBvzc2uhvsU+DIh/UpJN4A29i7zR4M+vG7taeCE2ca/mAVQCY
TBDVgjK9U6k4ncRLtxjZC833xjBQ6PVYMsMVvZGuAmnbvmYWi2ikXoRBKlZ+wQwSdviBbn+NjGqr
p+NuHnrUfE0QLOIg2I666JfO7GMZlca9cAgPwiX9UcYS81fjLfp2fpkFGxa74cIJ/e6+ZZsVpR+1
j5FAoEaUoiFYFSN4DVPRjvMd0CJtHSYseAwH6aIO9ythtAaX93ES9kVWMuvMJMYrQ1b3SOJugkzc
GNgbh3LYd+a4Zcfm7yLpk6AR+TsCeIplUFmXmHWMhaeVzn7SMNjNmfug9bW7sCttM3jmVo/A+gLk
oz0Z9rOHigD8sb0QQb7yehZmfVVuoyh0FuQGnnPTJy1AbhqNXW5ddw8zc4FUmp+FpTbZMX2PyyDe
T+4nJ3xmHXsewyRCqe3ukpzQzVqR7YtwxzgPzC7zrHxsL7KOhEyk1k89wRX0+K8ty2hopJdeHK2M
qHwmAqVd+RaDOsi6zCrr9K4T9X3IMUtyEa4S3UkuE3iH5YyetHWeK482uO7sY106NzMUY/R6uJm0
ccvKf5l13Yt0gxuQUBvHyK8spHNjqaPus2fzAJMNzoCdH+aEUCMr2CT5e6JSLegv1s3gb4toUP4u
wBGgGc4R8BxXRx7lKbhEC2WCpMNx6dvma6YAFFJP2qUOk4L8FLAP/XRnK1zFWKQkhtTOXQ7JAiT1
8+yGRyI/ry1T25JSD74P9oWvklM8lJo2W2CmOlyA/l0as0/24WbIGHh/1Bt3XMZPBFmR6uIXpzay
rzH+v3v4O9exNpwLnwFU1hgqUMl0oF3kcpEqbIfbMt2ReJjIdfRuEly2qjGu9n4f6usM0PQmt723
ERZIAhPEV3AQ3yGSufkODJkqGNaxvCzdRpxnqCKAneCLgGyOb8vc+OZP0PaCZL6fi+JgzcGbwcyi
S7tpl/metm4T8xS2pNc0ZdhsppSBEm7jj6J05nXnhAlb2JIcx7Yi47xF8G97DgkkMq2XvqgPs+EQ
PWOAtDb2Ydje1My9FvoAZ2IWpxGRZpHxKSNyysoW6ZmcNbGagmAVh1nHPFj8WpP/c+QLiuM/P/KR
f7Pl/O8jX73qtyPf+EXwqAduTCSo/G5r+SLo8ogJAQRnGAoB9Lugy/J+4Zg30FhRpDPqUfid/wi6
SEYHLKGrUsEgzfDvOV4oMf7gzKcqlKZS++NK/anF6U2SGyrNm66kzURL19J83Qi9SVgwkDON9hoI
LIeBZA4mfQAfw4AePZNbYCJsNxTdJwp1eRgV8aePMbZ13Oskt+sw7axmYxqthwQUVtDIg/TaFKyH
bNFqAAYCiYygePIUDUMDi5FXSIuMcL7OIshjvmJnaGVPZB44DRzR/TJXhA02JMmSwGv8lS448w7S
J8t78zpRbI4+4xTOfLnWFbdDUwQPwi2aPcqh3AVcDOEjAvWB0+BjAP1RcMaVigVS67a2jxUfJPBY
4s2KGaJ39gv19I2naCI+WBG4gcNKABppFHHEBz2iC74axSIZg/5aB06SwSHygJUgeXvBFbRF/csP
Ow8mkLb4ICTnTwfqZC7d91mxT9BfkY0Mjm5SXBRWvNVS61B9hzayHOApiaKoSHAqPsJiR6uOOZiV
OMoqZsKQV1ix1etBTm9zZJ6MqOZf3PIm4hBf6rFVuefGcrVpi/JlUmnzOHB0lFdVjSfYAExUFlsT
mq3uDXg328vO8DbMbD9m143W0ukZP0lIpLXD8dhMbIM6LIciixl3u0O58wKvWAymeGS1dew0JHaV
KNf9aMpVM334jr02TUwZph+80mx+dk5QrJxE5qtWzCRc6m16dFPz7NfgfRwbRX4Zl8RVza9uhXzQ
INmL6IDCXtZ4zFXI0b4324c4Lq47PcMDYaMDxxSwmSt8xlkNXBthrWFfj0PwiILfY3fRXAZ1m656
jQwS1+ZydRviA6MkaFc4bPWdk+bRusgaNrCBj9m28h5KPz4nWVDhAIEONbj1aqqYQ7YyesXGHizb
vnh1RuJnmpH9QaP5eHHbQqzQQiYgn5l4ZGZHcLYBSmIUgSCuMrh1fIdrCizAzsyyYwvrYNnliOl9
1mmLqGLRhjTiMtWGa1Tez7lj+UALMnYO7KUz29yhEqUMCTxItjheU80k+Ss02B7pCJZLo1XyZLQs
6XhVjNqeRBj2JEPyDZ7jY5yhVp+Gc6yofmTPfvCQOtVmkC3qwT31jJLXsctexW/y/uBNzdkqrXdk
BuSzlSFwiultiL3TaOa3TLNj6q/5OaVqXDSaDDagkoFpqEyc1refm6K6NoMQHFScfMRzX+0m09/O
3QAOMdVsNqGKiBMAFA+DgZs6StdamTzmDI+NWvllevGK0/Mltzvq+7ZgmFsgoYoK6wh45CGuNRZ2
/YXrZTpxo3Jth+WFj4xv2RUdWaFgU2JPe24rlkNxcQA5lS4Gp6H4DJyndkYqnQSWt+tLx1s1GUyJ
weDCqxpPXJlJ4Wq4Vufo/Z9OmP6VRpGj6s+PxTsArbTA/30uqpf9di4SssIxxhCHZvgnobP1i/31
vPx3HywISkQT7TgY0xjLeC5Tp/8cih5qIUfXXU5TSRft/C36naPzc30ZkfH5hOTwRZOE0ghwhVTz
rS/zJbbVo11VTXbOjVKIY2N27CanLuLgW6C4RaY/jj1tQ+qU36o+e5kLcNyjlt+CJuBudt4mFvDr
ssMbxmKjKiNwGorO3AnnpLcGT/m4o3ct2en6hddDSZ7CjVnaHVaI4KRpPjTQHjhO7BdXzdS+ayp6
Q3rDuyi1Yh1i5+xYTpCfGF2OWJ0WjHaOWlmda72QqyK0ZkpLAODoN7GpTfU7NDQIcV2tVuebOUto
6Uz3TRth2gytsXDGYOc47SmfE3wzidJqV8MzFPv7tJ3SZZwYt5ZsnwKXLFn4BgD0LMu+CqJJuTK8
lgYzqaGPBK8OAtktXQmPWmJlEAFcFSrdiLSpW13lHYVddD2a+kWmyw/RZlvIFK8N/GwiVpNlTYkx
Ep1U44zQDW+X6fVTRxJJMSr5hQpbInTJi9+sgTULOUzEXn2rzeaqnqNHSU5TQmbOyrQwl7vSPmv8
sAAzhl0WwmGPW+Aes8boYUqiW5SJp67UTvP3UCidVm5SQVGS3f4+NpoK2wQL3EEXZ03CQuI8QiOl
gY8lBO4yDgm+jFUQVRWkYFY7fe2SUWU32oU5VDDvSK9yCwgJupddlZPwyFar2JaXubklUmvrqvir
OupCJBWpu02csGbhzhFl9z6jWBWdZaT8qTOZrNaHB590rTTqzrbeXemgxZea5lXbmnxBtisuHQZR
N4TSMKYhrksMM09SErwyjbO7NkGgUpj6y6HoL5ktnUIV/DW2YEC0+sbu5XkgGSyIiQizzXgryAzL
WrHzjBEUymzft6hW9Sx4IBD4gxglbZnMJq17B5Cqrwgjc7v5CYYHWXkmD2OnfNQ6FNtpM9xrHlFm
vJSQZBVvZqmcM82c0F0w+TEMmHwNe4KoKI9i8q4SgQqtnUYyfghQ68Z+WI8uLCkY+wH3Su2Sfxwh
aFKznRZ0UmLV42vrEyaAONVfWTVZbVYSP3YJTpno3mohFbgq1Y17bSUEOW9u67TbvCFiB0l9uRsN
02e4joiiHIi6g4iRxchVZ6I4MBKGBA5X88ohWC7KKWlpnGFUWSp1jvg5nxi6ZKxgVlr6rUDCMn0m
ugLcBfVN4TRrMD7oqkJn7eJapYr/1FXgXemIz3rWnz2S8PQhPZVY8ZT1doFMJFzbOO4WUwbRpWte
U8EsIZr2bjFfCJbVy9qAqMK1RzQaErranT7Npn4JtO5yKNrrtNSUqC/ZoJpeQWA8YmUbl4aK9pMq
5C/uwP51KvivbtvPUiO9JB0HFS3uvEZV/cJEkgMd1s3CVBGCCEPsixYFL1p1zWWvLZ546lY4LWr0
BqQQtvhQFrj7I7gw7iUb4nEbNF23Cef+AvwH0hHyDO1wfI1VwCEySLFpqyalPILe24hqZ2cwIvDq
LdtwvG2Bg6nApnU6orerEoRDeS5rbrqCW8K1j2kdEfI4+qciRQchOn9k5BjcYpu4Kkrv1vPFzhrJ
kbAJklQpPvCciIcOjGoDYyJ9qpGAof3rD5rumMSXqhtbxo9gcWGB9ANANW8A2WmGb2NeYAMRMPOH
/IIH+s0kCmI79QwCl9ldlwL/QASHtyeVdwurhTCWxhLI1Is7Bo8XoQ+yKKnSQxP215HEvWXGjIQQ
XiycojbWeZDy2r6/lXbs7ua8e2vQ0C28ssYsk5shQ7BKA1KqfSJ+4LwI62jrekTDTMWbbXFvV6kD
pyqDL5MC7AA4NecnHUH4oi6qJ8PFoN+6QHGyicEi8iayRoDbMaMxMZnmOmkfOmjltnjrvOiRjCT4
Sn6+mUgXWxj8yimFqKIHy2KIM+rBBu4d3yn6pb1lDRT7AvlaKJDEFJK0K9Hfh1NyPXAmLtsYH28E
3ADokQRLpU1cbq4DTSTmv9G40WRp84DwOz5OmlXQ2mEKDfSBoNnEvpct4br59C4LeY6D8mNUtuBG
xE82EaxIJlBh2F1+QKtbnVBHHjn/8fg5+U43jH2blvVSTGa3Tly9eIIWnu4bNWg2ufGRgj9qk7hi
Xv8+VOkG3cY9h71+CR2N+ZLr7ZsouHKi6s6bkx1r5GGBZG9cpFSUi0kMO58AcSfHy1r0Avx1reJ0
HOdbBGJ8ldUkD1Tk2Gymwr0x/KxaS4RDaOYIti/LDJVP2vl7vZ5ebY2LoQ17cwMl+27McYW4vnYR
BcFrjUM3SFhaj3G5LaqC1zvlmbALA0eFHqw1Q35DhEnsaRs9Cx2LR1zZZ1rTh0LYW79Ug9nA+oz1
weEZa8DSMmsi3sYcYaCTUpjbdPI6OuZ1HtMoGNHElG82nm3goB7kqvVc8outNZ7a4UQLFztkndta
/Apo4phEqAjbyI+XVV9eRj2zJ9HW2wkxHahBVXnryS4OSOqJXMhhemsCiDdVtAOomjUB1e9hAHQO
tUe96Q1LhxvR94iop2WBI5+nqv2YuQEuw8CXy6zS7sJ6uCetGVd45C2LIT10jSEXQUf7E9BerEwR
3raMAtd+2u67ABtPpnv3BKaeg3TwllbTKlK7hjeIVMml1bebMdBSmEX5XqNy4oaM9eVgomUlCGQ0
Oc/5tjhCoFnY+sBIPvoYmGRrpf1p69qdhjRn5WQohRMv+XRU4r2Zmt/6qb70OMnRBMlvDWYl1gXg
RAPjgoANhsYzHNnRTh6DDD4uZmlz6Xb2EsTVJvDfkKUcKAwY3AutWBhdfFHKmlTYLo5PZlTs/QrQ
mOsmz4EmAfsN8Z1RYyRFw3rjAP9fmEhehTc8jtRc2Bxmxr1lka+r1gqWkyQgLUsqPo5ACucONXku
hWC8Wpxdd8Ks6lRMBobhE9UGc+jBGdc44Dd63z2V2PbxbxvXaYCkm2vhaNkRgB8Z14suKW/JdZVL
yUSK8nLkOV3nR+DGOeEZTHbd9lucESCD8OSxGmkBs06/n9PoYpzSO1Ow9hgaHqmO/tarNGR3gJKH
WnlYQfc8lE29yfXRZb3UtDwO9YKrNv7wqI3hzeN6HvOPOasvZlAni6Ce92hKngAnrVonvi97tgIN
VZ6T8OgDYdUtQw8bUJFG/JCds9XH+tMOKemcYny2Mmo+fK2wGOOnzsn3Pm6XMMlffTd5i9sOlHt1
gSDRWAXZiNSLYT0Gnt1UOTdjCPVAEk3nV8Xt2Hi7UrB6lrSNeoxfyEKGbYCns8J1iP0QM92hHos9
C7VlKlF3XTSxAacocMzkOs1n+2kqIts9VZrs+Q+yLfvVhMG9Q7/967b/n9Gs4o78eQ96+5r/69BF
zb+u3sjq+QMOinr5f3pRALF4RtijeiQD01fS7n2Z0QJH0QGkQ/BRrtvf17L4TTxeQ5touXjGvC/t
qPjF9UCkEAbKZvH7nvdv7GVVs/m7XoNmlBGwyz8Y0HKk4eP9sRmtObIaGuPgCqXaojEvIxH+D3GA
sH9seJWMyiUUhXQTSgIH6oqSD3xpeDPoBl6ZTuMJKfk+DztvQ3MR1xsnG4+jhbNupc7B7awoG7ZW
1mDLaGhvTfwiDBNbzz4yJ/SafR741bGrSdtiy8SJfVQ5J+NaNNhMsJMYLDfYnoCMHPRyl4RZtkaK
BoVxrOYtB6q5Hgzb2NahqNZNMcRbyy6xVPb2OXbyYFsmGVlyRVBvIy0gtymoi1jb5hlyoNu8nsPP
jF3mxvpVzOZix1x7v4rcvJR/W9PLZ8REfFfCMSJEFQdKrrpu8Z/VUTUD+OO00cbwySqNy3AMITPS
uyx4+O+tvtqiBDoMnU273GqnLuwfZGLdVV5zWyNRDvL+wYZdBsCz4kEbiQMP8nUgqgNS8L0RBAnO
gS5aBaN9Cc1u4epwpvugYP1Iba8zXpiL6YIwvOcyjpHJp46igldXdWTHOy8PaYr0t9BOpsuwtJyl
8IGmuamBLZIx+URS4FTY2Bs9etlAQFJsx1FucWrPl6RGXfYg0UYSoloNoH6WynoVWTO1ZrmuhuiY
DdJa+xbWkiAsyYyt9z4xJ6GsUsJeGdgGWrKvSSUj6t7Y583I6DjMbou6vQwt/HPUe/a3qQc5N9Gv
LnXT3ozEfC1GI1oL0eITdPNV1vv7sayOg8DMZMQhX2vrLqmkaZSDWCpOH4SakTivhvKf4tbDFO3D
O9Cn9lhBDVwGHoaFBO13keofwu7eDeTf2zq1Mzi9mcbTP5HRdZkzBDBGEUmk0MwRHUO78JLY2Dau
/o1Caz/b2qk1nPs21LYpNTtMFFLHE1fBkw8sh6/7nE1cjDm79tdKXJnZQ7LDtLB1h9ZcVRZfPGi9
XaP3j4baZJZQ6B3Pe5nt/kisOKSberyQqX6e+Ut7Iz9mijQjCJUvtVezMT4Iu98XYj5YvrbznIfR
fync+QLltLuRcbCuHQmW1uDwG996VqpdS2KVQFYqzekc+JxelklyFb3wMxvVZwuRwqoejAO8CJLI
xVUV7qZMgOadMYxKxuNOqN25Y3MviFAbA3wOMgzOoi/Juo4mvKM9zpoi2bMbAqreGw+lFt65bnav
lcVizqG3B+Une4KLytMuxlHHmB7bF1XsbVObChOf8AqcabcXnWhvxBBf8PkuZay/wERFmWulEaxo
vD2mVcanTIzJbtQy87lAiPzUuEVEUz1NPnMHP7kZfadhtAZhSABkYo/fhqtKU46EFI9m2GKXqUxN
Xw3cFoceZM6pEzMmp7TufWZiDNC4w7D1FovKaxn6V777BqIlWIXSftAa0173jX3yQ6JfARGQuCm8
houZngemZ3oJ9xaYjClvWl2vYSwPFTmFBKEZRnyJVv02KxOsKENRLvqyYTHuCZoU7EmM2gDjUCuO
lDku5pijX4Z82TMwSjLP3kQA59GGQcQt5/E7knd6QDpeE0/JNpiCQ5wBxZkS/xp98Fs3esz9kHnE
qG18Tb9llf5sWeVL0yXruYh3fdx+OvVwlco5pqQkmgBlwLMZ04HbzksxaXRfDYwlg5mEP8RUiA3L
Lyr7Q+PL1TSBvQbtG1fme2a347ZEyh3n/TNgJrweLe6tqHtpWrEpa37NCfkXvvNo5M2D7PJHaRSg
ksb4dkynQ+4Nu7YyuMGH+DEIp300cIuO47H3s22QAZyFcnTTtvMVm4znMZSnIhZLV/SPg8riHdBC
O1grewHzZyRzgt/GOreTF+rwBrCmzTxKQhFIqWVbN9oHzUh1ZeXFMpb2LXGNfIOpkSCdce5Qq1y0
4KOWTaQ/cxJcVj47RA0dE66bdlfEwaOkjCMjtN7JjHgpsKBax6gk59NnoXPAmLerk+ACxPGzRzXm
z8WydBO4MSg3KNfB9mXsdpJXjVUB6PBdh2NsUXX+q94mF3zXq4jGD3WUx8hmum4oY0E2NRexru1q
ab/4ONR6SlTiRm9JuVqRXDZvGggJgHTCsy7GT3ZzEodY/qKL2FqYc3SEZ7at/Oouy1ts03mx6wO2
KixAlO+HHFXTxKsVvdg+mOqaBsw0i3aTZzq9oxDDmaCYcOFiuqM3rp9yPSTvXnevWPext8ur6rIx
HDZagFo3ICq+wScnVFsPtKehtLleZqVzxYy9sGDovI9wahl4ZSG4mck8kpzqf36pz86/FjR/EXik
lNzC8szvk3+Vd/STQtFIpEHGg6+d4hjTz0PivQm5/f+9xU9j/Ymr2E463kKHXWw7V115Ncbnv34P
pdT9vVr7LkjnY9hKRcdIQlo/fQzT7KZs8JgrMOTj4Xg1t5gk7mDT//XbKJHuz2+DEp2tPeJURHtK
yvelYAuKGJNx0gdXHf65Kg4pDLkPq/tOnJVR1G7YAcp/WolfJZo6v8Q/byVWH+m/TlQzH/+90FIv
/E8TYVq/SNA7Oin2sBFRp39pIsQvpofIAsM6FzlqkN+aCGEi4KR5YAyMlll54H/baal1l6s7DreE
bUliDP8W2vRH0bdELY9MWqn/gZuyTf6+8fpyvbQ+w7h0zs1zXow7PYkOTsAsr5/WX76ZP7iJTRcx
6tcLE/4jLgz0HYblcTczEfjxwtQCPZEERAxnKe1k3wa6K9Zy7mirGYkVAO05LRxtxYL3ypu6Q5WU
946JsqpsmCMNFPDrpDaSy74mW9RiBra0JsaADENovYf6iXgLYqldavNQKSDCJr0lPsldmmV6xn9A
lI9DgelWJsZDrQ9wY/HwprS6rEg89GJOmRy62IrMqx2jznzj2/3GFJLk2dkzSFoY1aD+UXMdLGjk
G/Mxn3ADFsQwylvLtG60bGQ/h7VKpSgQwMO5zhyx9vrT4GfBOvOMez9w04WOIGtlhmjS0M1dS23e
DKJ79FzCjgLnJcgmTilkHAlTiFU6RWdgb5d47MBtOXKH7LTeNgD3llZd3xd2sIsU5i4Nw0voB2+Y
/pNNn4G7tntO87QYyZHqAtgXosCWiPSSJ2m/nEV8Jdx6w1CYtoZcRyS0L51j3NdNABU66xZw7G+c
qttKiOmBTbJd2zcZPygZWtjwxTI0JfHLZbpEhuYuHe/Fa7O1bo2rDgLPoukEsxziu+mAHX5/2GCd
7tOdmgjflzxqfSfxXGeENKPiMJzpZA5M+ifkFkNoRBto0ucqDeMN8+XtnIkjY0CWQIbYej3fbTig
HtVsRq5l5b3ksDs8wgyAykwrEhAe8NXSwDQgBAlgv22Gbm/IpF/Vlv5Nh9O/CIbpIY0iuR2t+coc
Qfw0YUzuxVy/G6n5blLQg3IydoQb7h2J2zCBx50l8jpL3BUyW/vgWDNc6zT/NsflU+g0IZ1AcWf3
SbwSlUNL0GG4ZZBtWv7GJQetXnOJMcgVbH6NMaxeyW5h8Dm7GrZnaY+M2fUR1ze7xjpodmLA0aY7
w8ZwB4Usp2lIU9mAEyJK3Df2tbDeB93bRxLq6VwQXwGZuH9IpIWWNxgM6nCpthEdbRYWfHNvYV0j
Su3UMjae3OrVt6MbI9E+GCwwlvWa64Kr8W4ygZEGTQtCh/HbQOwKodnIUFmQuHVarPBS8fcmObuN
PtqnXTA82zFLrTEoj0FEUFpTjtiTWOUKTHRxsurbZjcM7dPsM54bAf73sX6O6+KY2NyyVp6cU1Mi
btH2c8p4HNRPuCaDI9vEGBvtgZxtIlkg23TGDTvr7cimMZlpIxExovopnwjSzu6cfSjqy6TVdsAm
gOnoL7NkYwyVqsHN8JKK235odsiJL8pChZ/XIEXrpbnRCQ3zBOyI2VoPBOf0prWpjZB1xVz2W8uJ
241uEMYc9OIlFwabj2JY+Vpds0gtkRPlV1MxPDNlANw+iYe21d1jqcWiuivifhmAIPXRLWdUSv/j
MfqjKo+bBmUZnjbYtygGmfqo4//L47pp2Czhz5zOA0nlC7H1L8bb4riPsca/5o/wfPbWEsv4JQx4
ZOdba//X7/9TEfPr26toSGDbpgTA8uPb1z4pH5rdzefeeS39vaczmB1fyCj6H4OnP3ofOCa6o6w2
At3Gj++DnF5Cuu/nsxEdwrFZgBn1gv3QNf/jfX48/X79Ovk+OQMxI+Jx+Gm8VaFMkx35CmdbXtY2
bi6WY+Lxr7+z7+i7LyXZ9y/t64f56U26UNcbM1Ff2qZ5AEGy7nf6u7sCOVocM66xxQ2DkwVZ8rv7
k7tKF6f+GG0emrW/vo4vhsUOGeKhXfF/XBUb/rd++OufT7lVfjqZTSXyxCMp8QFK+dPPl3bzbOST
bpxZqZz8a1RUR+MxQLSwBOqwmhYXz8Z2XJ6qzbCT7GMuEbJcs4LYDIt0+f1H+WcmrXOf/nkhuU0/
8vwPikhe9FsRafyCOIUS0fEEwWI/4B/NX/DrKXMQlZzpqErx38Io1MKMmgULS1qBf3OUfhdGMdfl
7+Ifyodr/60ikvzPH66h78IoBx8Zfyd0OaH+uh+eS8yAHXPsXO/KzMi8iKUxl9vaKoL82tIIxljL
MGv8F88y62srBT53wXQpXxKxcIBieKhzL1kiiX1L4NJOCIOQdKLIEQIQaWmBYFji6d/nYNHWXe9d
J+7wSfI6UUu1++p15lZjgx80jHhktWWCsnVz6zSW2k6L0jdZj9ZSKf+CeLhOgMssbIiJAZwkRzch
9jAHQW20jLwCzWU8bSmWT+asryKSmClIJNwWfdpNBv67XDPeGMngU+/lvmZMVQpnj/n/W5mPR4RN
qVzjbLCfVUwzyseEEWDxUU8ujnjAALGHiyNRs1vUJBvOKuANvbGr2gJfPirmoUUNglq5XpcZKyiW
C3zanKFWU8yPWdMfiQfM4EQzwqkT8kPNyOJhRRCihXqpTtjzGXXA/GYwXt2EQ7Gh7KmEQ3lRdM8Z
00RWibdhXlyNEyBsDTX0JmvMElxsvh8iMpe8qMGdxLG/0gfRL4rMLbaMq6xVhzRkaXse5/p0nclk
3wRkw4Rm/D5liN10qhy0Bj4sbo5KKyACyuwGyCjGZ2tqF0bf7Yd2OsQ1BYrvQSnpG7b02EIG1JhG
vJqEpuFCajGWpB+Zlg9P/D4vW/kyZ/ZRRI0iL53TKiZz1L8dmrhdQg6JmxWnYxUecHt28zpHvYum
JE2L0GYFkXjVaQyks08b9qnwmcJthJyVHMmg8o6mo4UXTlJA6AJ3ted7KfU1S/Ryix3Su/UTn4DP
dFJip6ogcaeH67OF9izSVdqNwdbA0IF+Lq/Ng5Om3aNb2O6ObFf96Z/H4XeZqM7j488fhwSHI2b6
g+chr/ryPGTJptM5I6ygfebM+m0zZxL9IXUs4KAPeFjyKPr9ecgTlD/6XQ36m1CUmGTlvHQsj78U
B8Xfim40MVt8PVN5HqI6Re5E38+PwJLup+fhOPioN2ykSMlcOhPLhQLBdR9arX9l2ksLubcWayYF
MwpwrQtvJ6UJTzD8rbh3EPpRpMOEqZJ157Vi1Uj8TjoX/cpVGvMOsTkRVETYIz+flQ49s8JmVSNN
T79r1BGrx0q0rtTrpdKx924D21Zp2yPPblZJZ/i4HlC+D0oDHyo1fGij9Ff6ePjcjz2C+QjhvK0U
9MVIJuq8JdNjWPRKY58gtqcUf4DUuke9jZ9I6fFNpcz3lEY/QqzvxSB8lXq/y0wyvhD0YyXAD6A0
/q5S+2PSLFZRU31aGAGQpLdwXtDlTR+DcgpMEmqr8g6Qs3IcTcwEeYD2XPkLRJOr82Aol0nJINMq
iMiDOcXguB8vrRlRmIlZoXP9TYe40cDEYGBmYBe8bSyG+pgczNjolyiEkJb2YNoAwCeDDzNGZ7pq
QcsDYycHR8UxME3A7dpn0Z3bgUNP03KXJcF6LOK71NNWRAJcl7V+SQTMkvMoWNYyu+75lXYsWhCj
R3W+bTXD3bh2eWEA5cR8SN6s4x90Tj6CZtGtfT8NsePX18bIVPUFiQzrzub72anN7VRuM6oz0Fw8
XqYZHADqtOSbKa0Ni8hhEZndN68JN44JcXVw+eOoGz4qYTTLmDEyW5xx107hSeS+u9aGcdpUbfg5
aHg6gbQ/02nctfN4bfTGi6VinYv5Oepjb2mzW147gXiPzPFi0IPpJQ2rZBG1JUtG9HZuX/dE0VW7
WNbXvkcCVe1qh86p7qaIj1WmHVvDwL3yR2R2sJ8/hepJQ5hOMrHJ1rYnfTc7n0ZciHVktA99m4Yr
yHfID13zlASetZUaKVT+vB1LQ67qrK+XWhF+C5JqXuKWmzcuO4xlPBGioDXPEU6igttmmbs5RBls
KeX/sXdmTW0kXd7/Kh1zX0Tty8VMxGgFxA42xjcVssG173t9+veXCHUbkP2MR0SM3ohHfdHdgKpK
qcyTJ8/5L1Y1zmsPgr5CwanvdHdqlxIW3tKXEnsxM0f5KVTDT4bre3MbW9dJ5Q4TVjMat+VxbEUW
soiI4BiCK5Dk06aw0Ysyox+Vj2xboq/byj0zY0TQoyG8sFV5lWsIu5mZs0o7SIxg1VtK/UiEiWoP
DehuWfSJC+BLUyaqE69TJJlGlMXou57IlfegRVoOFxhoi+TboM1U4xMb1W2vSkCGuy+Frwcnue+c
jD2yb56dryD/fDFh/8IDv5UQr/M1+1LiQO+jb5zr40WSCBUy5uaIGvYsV9JmhlHaTYuyNnnIsdcE
yzL0nXnUO9TH2t78WrXVCft6c+Pa6NxA7YD+3K1MJJw2B9l/Z/qChP/rre0EUOb7jU28Z7uxKcaR
CcufUqmO/J4sqPbbjU2B4edgqUj1V7M2Flnbjc060k22Osu0NgQIdsptog8axTbZC6kTY7/zx4n+
6wIE9WihQi+eAcagxoHxzclc82NUmFo4AUlk+osMPNWszxLdHq+pII2tYO/77mjOdb+VfSwDWuS/
Qc2rChYC6gBKXcf8Eui8DfEd410baCjil52BMrLSm0WDA2Lsa4RshHcxPNbjgPksuWGrziTXydKv
Y2nSy7CaxinTmSXnrb7qDaODWoytb1itrbEuxxGoGC1jedr3ZetUTG6/XIZV7oDLl1EM60twrV2n
fwKoiQ1JgBpUk0WoJ0chKIGia1dwGIaFagfphYXn5Q0hpPsmp4ZBty70vW+tXvaLGO2rs8CMsjkF
VvcilAx9gVuKf8xBjoO93WnDNTp87knVZN15lFodEqdtPSvd/AdtbgS/AdOUazsgx41rGIRT3zVw
GjHC+g7KQDJlBA1cwWNn2fpxdwZnDFrIGCxjdL9v0OlGxEvz4H03cq9D3SN9N+pawi5HHi5KuQwX
EdX9hZ4rCC1VFQ46KAKQhoxtfVxgtgdYJ6e47Ti++lUb8/HKH8cQgL/aqN9QWjZQmUM3cyDX/iKg
RjOF4tQVKYI3G+2kuWya6DtDmp4UjqncKnRYoYTQ1DjXcRWc0Gz3LwZ2y5k30I83gqpaOg5CouHo
2Be0cvFPR5F96gzPJD1v+K6bWOpCWas+N0nWLConRJoNPv05Ak8oq4PWixaDA/VL6QvzWiGyLYLC
gJoWaPmsbuRsRTGpXVVVdOoOdL/o2tuLAm7ljw6b92M7T7zTPgt0ni20pPPARZMxCSqK+NmALHRd
N+ZZMdjpMvfw0YYxgU6/UdZIA6iOexqXkvkZL5B7rJrUM1Wy80se311IdIHPq0wFzF6W8uUw+hRs
2ZpOvCDF3wQDoHO9yocbH3LkrK26Yj4EDfjKdnQXVVFV3uzfh4bnQ4NO8e7XkfU2QEZwyJr30VW8
bxtdVUjXgNwUuvNIvRqi3reNrrTpyPppuZkOcY2Kyt/HhudeHC0rUYm0EX4WbbqX6IrBxrPPO7Vy
0doSBht/AOjDK+ftsUHHjwB5a1GsMXmUN8cGxW0Ac5RmdtWXsrVIBbpch18ATKg79i0Ile0gqMJy
J1/yIeSVHJMcIkRpRSexwLkHiVud0+rrJ5WmFbdhY+rHRt9UF13k5o95Df7CErh7P7bQLvUUukS5
I3XaJFGk/qoqk/qyCEP9QZLNeqG4Kg00dNaRo0zdlKQsdx5tCf5DHxuXngKCCl4nPRrbTD5BMTAe
4tYqbzvVaM7ryrdOIFdnxcRqpGihGEP2WWuoF8NcVp8yo4m/GHKcHntG5czS3K3WLUezuS/DMbZK
knYr7JC59Nv8uhMkkAaCmhd4+azFAaq99CV07L5nlefrKwXGw9AvwCo1S2WsG+lJ95zQv6A/RxJa
QGEtsRrLU3Tu6b/c+tBBic0N2N+x1kaCMmwKGB6yp/sA6rMYABI2rG3eAehABTBYmRK+1uTVsF7Z
h4pkrnYOPrpu/2B2sbYeJBzfwAea6cLzTeN0aMzhtu6yca0ZBmjsFMU7DB1oWwWe4gDOb71vzKRg
KqfjuHYrf3xCSvQLhIZF6gWnkrDsShSTipABI0nKO0+Z2EozLCMi2spTqKVEorVn1HgLTfokA+MW
dF6wqJIa91J4h3jHRcW9bgXxSUzjUYvAfuUS2AZf7sja7bLGPKQyb20/T05qCR2fXC7Mi96BvJSo
NFcnam3AXmF/e0Kl0fkmWZ10qsU1jmh9chnaijQr67ZftpJU9XMOqkU9QxA5/2FJGfItuZtidmJX
J1gcmF89RClmowMqu3ej8MwK4XtU7NUPimtl024UAKRozB7GppdWTF7RnE27y9Ar3S+oYHWfUkEb
aLI+uJVQd7zyBeEgRd4rnqVwuCq2NmRTObT49bzqjYri3gC5GPMv81ht1SfHbCe4d5xafaddD8jF
ov6fmcpTLkgaRQBZ2skrhMJJRib/jsXPsVglLfx1LD5flwE+3DtKOOJ921gMuFqDWmWhVaFboqX1
UyyWjzTHQHYZdAOHFwL4P4kuFqyIF2/zWRpH20TXOkKSn7QYEyQE4ABH/EkoRlXjbSgGsqOLrQBs
hs5jvGl1QSuPVGtU/ctEHnX33GdFfO0V2bdPjBJtmqtM6ozTsSnMr6av48bjSCnn466X6AuOVvXZ
8fXs1nECY5xSoe2yhZZa9X2lUXqBJQPQzvTDbKIH0udeBaMFgRCtWFWNkGg2YWUgWoA7WdOad148
rDtvXOMfp6NMemNWNu45CKKrcRJcqoNFQhSZ8751KdSWp74JMwPSKYDFsq2gUw3rqChRd+ioFjSq
x3LBzgZAmR1PoV8v4hRmk5Qi5mA0zonu0eNsO/c4T8wbvTVuEhrqs0izHge3vxhBjSF+pKyLtLjN
NfWrb9OizTAPWqQpnDVPHcelHTjJNGszVOV14yY0rTOqT1/UJELFPY3P4EcR1iMAm65qz/TKIssv
4ZolXW5P8zG6QQ7kU6GP+bmGmTNAU2rKMF16zNRo6lKYprIcU1OotR6/F8hzZyluQqOVfwFW3k4r
BfhDI5dPY1UO88gRRiBVcxyDQoBec6xESKBa6KjiUDPVdZI7W1UpFAkUacgY4ArSTT1ksI6DlP/S
276ZpE72OfWjR8uJrm3dp3EXf1ci/87M4AzWdaifuYZ7EuTSdZCL3oVh+VSDBCyahNKj5EjBU7/x
TfNOLxNQzYb1aGbpahy0m3ywKafJNpEMxTCU7bMQzYl+lQYKApbEaoAbyziALKUKQ4QaVaumSD+H
ZhXPTBTeF0ofzM0cEVrDpF3XkRyzgy7AIbQXjQ3ywxoqG8Un/aRGxegzwtg9+kHN9di2iIxpPsxu
kMSFJIMaHJpP5RB+cxF/ODZ9cg1DlxdUde5N1f5i4cKllsqa+iLineIx5PZGGsiv3fEyhi+GhxE8
OvhWQ3YBr/YsdqIrJP2/BqaTLNJoRPizR/tYR8voRM6HVW0y7RQjPMsw8rYT1F98yb6XwCRPamCU
UyXE7F0qgYN00YWRJ5eaU650x7xqKxv5ZVF98ix9IWnFV9oH4HhVkMKAy83MOs1b83IQLhFIRqwk
x10Aj8xAjVd3dmh9M6X+nDPkk+omd1VtnSjA98MWwIPsWxgaxw7uQRnfgxsmj7HSscRGD839Pm4Q
zzUv+fBir/C/FKXBAUpOLlVXucLafFE40Tco+lNbbKAoNUF30pKrGpGKs1TzV1ZSp/e+CTIlHpDf
xWUgXklxk08N4eXgyqY5tZJk3bmodsOuv1aQyY+lDK1PioMT4ArHjj2exWl93igRFTDsxsxkXWvK
6Whw0069DtH1jl3nxMcuo4rlpQ6yQcsR5w5cKq+0F3HOQk5qiJBMVsVpV0G/2vBPnabWVoFSptdV
H7nVaY+0skCctgBbNTBRiIYdK6F93yRpjFh0QtUV99RqUcRyvcSDlEpfmmEb0uvqVT/op5IcKBc+
C2vKd25cpkDYJ0Zb8uXUVn8/Fql3Q3MoXpEIGMuaISCDkOJjBYHsSQ4XRINQ4HrypDVrH2oCPk5Y
QXHrIZeVhRS60b+36Q1+UeAzfr1N3z3562THJi3etd2kOTDRYlENndYuXZFXfWcNv2fI/aAmZNF2
pub0sksL20GDRrCN7yqlLFAF/+zSDjUsISbJPv3SuPmDAxM4yre7tG6ahiLuxb5vCtGr133nmLMU
0vn2ZYucZDULNe2TZ8jHYZpKp03szRVEhaaG1A4TlzZk3+GNmtGQmCutc1pTiZ7mFBcWXjjc2VJW
LJsQdZhUoR6EmOQ8bPLvntqzSjhVUGfF3qSRZprUfK7sUb8ZkrBbmqXpnvn6YCITZc3MQsXgx2rL
c4OAPTE81V/0lvKtxuZPdpv6OO9SZHZCYbki7PCCvrmhz3htYexzXeRJPPWizp5xMMK5lWPVJMZI
h33EQZTSoTeT8FR2Hy1Cr5FYkmhMhsLezW6CRyWlAT+rWhhDdRq2x6YQp/DykYKzFnmTyE2VS1cl
5eibVBShnfTYUiix5dx+FOZiJR0t7oLh2Cisx0r6zzMHN7IYV7IQd7Iel7K6BJtYp+q6hv+4MoWV
WVa3eAS74Q2OOlNIDatWQpWzNDU8XxNEd0YwfUJiZG4DDpyWz4ZpCIjkY3Xr4KSWs1+dGMV4RU8X
BB9ua1phfc9wX0PPUdhr+NBIEaau3TuvBUnWocrV4txW4uAm4+RGdb6aqcLcjazGWuZx9iXs4lMT
/7c+xAhuwBGuF9ZwTe0sArzijNR5yoV5nIJOJx5ttc02wbDgcgYSQDjOBQHNn0i40KnY0dnY0kXC
n64TTnVxavRzSbjXJcLHbqyqe7OtHmyzn2a6inWvF0AR9wJEPLDBy4QfXiKc8Xrb9GaV3N8hwg6J
S8V2N2hleLQjrSiTMI8Qe3OVV5jBgP0L5+XYfNfz+ktL3pF4qb5wNeUx5/i0gH9Wn6Z4ZbuSrS3g
OLQLs0fJgz4g/oRM12WDHjnMMT0pJ4ECjSHXtROpcZylZyf4A9sZCyGzfwyhOdOj6puWd0jaw72f
K2EFOd/E4jLNTZ52SKas/Xyap1G8CPDdMH0Xh3WY2NMiYI0geEG6k+Ew7CJdw/EQHwtsrzxslWZ0
MC611j1WjfTK79NLM7JPJClYNOpJgrF1d+5wzUqvb/Oiq6fmYCGvZd5bSKNEKUlUp4WDsL9eRgqw
R/jXVVp/sWJfnmU9MlZZmDvzyqLplzkImdZhusii/ByQ/RL5kE84zZxEhXdWJzkpn4o6NxQpNW6P
9QbJR6uj3VH2/WUSq+MpFjcPfkWB0qRCANvbOgkL60x1kPiocRKQkIOwKyyysiiiBon0wMzzFRsX
BCUAORCcqU1wpiT5Q0xVkrJC1Uyw1UX51Lhvygo4TKQvARk4eG4rJlu9TisrBQiC+hSI56ZeIqAA
PcTEl14akpvOdO9Hl+crcsBuIxCPseZ9XhL3QG/jGcjKE3csn4pU0+fqiGlqAUZX9rIRbjaIE4dh
nba1f6+62nXdYXmnBc3A4bjSZ1EL6CUq5B9AXFZ6EJwFiJFAo0k0pnWBQ0HwMJranUvxdFq6mTXF
qVWi2avcQELlsI5qhael16oEt08ZMWhyGvxe2LOL1HbnatVel36zdFP1rvWrc7mVcCjJ7dOgBBPs
Wsl1DLAVD3bp1O/iT4FRA3Ot+1NzwHGctBGMJfplKHjHKHZ0ESV1jEBG2T+HaiZNDMTRZlj7/PBG
967IPUSFFVQFtABiYu+Hj2VORSqjFibb3TjjeIiyHuU8rBel8bi284XVWZgXFbQpgBXPpRYVmsjx
bnstmDcqfDs3XzlO0lIsL08BFqBqp/joOBTJsNQ6s0FrODMWbjJ8SUp5AXp9Tds9WPaqj4RM116g
TfZJNdoz+nm8VYXg2OqLEtZem9mrIC+Pw8qtj1Gnjyh40Nsnt14OlvJ9VPJzwyNm9442NxGYKZTy
qQ6D87ov1mPvzS20FibV0NB0VR4yCJNQEtH06SCqRSjV1dhPejjatkwCkL9E7hzvdJSGjSjF1Gaw
7vImOB914ymqCZSBZmbzNhYsReqINVwiRevKCbx13LdHOql69zlm3kIh1XET6nBMa2k/stCuEbmg
uSl0nGQEndg7y3kW+A29StSeaBWZl7ZQgKIWpi7LqvwSIA5l4DA6zfDJxPjmAV9Fl14onc0KpICQ
yFKIIMpiRHFKc+1+WTrlguf7VoYwZVM7e6yETJVDsx7de6SrMHMyZi5qVux58EX5XZf7q1oIXnEe
mGpCAstJmkeQV4iyW8Wj5iMEH5LPu0I4q27dczyUGhR8EdVyhLyW19cIbQnJLVZZMXVt48KH7TjL
hTCXFGSLDKUuoAj+3CJOCgmvDi2vQYh6BVL4NULlC6DAVIOvvCRtX5JH8B247a1i4FletIV1OkrW
CVKrbMUpIim4d1jTQBkHtDSU6tIZdbojCTJBUTa1k+6yt5Cu5ux+JmtBgqp0/sOWUm8Oxu+hyyRl
LhUIjXmpuY58GHA5nCwZqtk15+NzonnluOc6UCc/0A3EYBpqFZDQgEJlG1xUGciApBCjbkcsmAR4
6t/lrk25i9z213k0npY7mroq79lm0Yp1BILDUsFnbsk827YDVTASWHg4hkIyTX/27yxao92roCwA
l+vvVvA/tS4d/Dc5r4kDJm/7s1qX867tAEKJfoNCLm+CenxuS/yMKh8h/Daod10Q33HVgsWWo22D
z7GOujidKjGpG7WdSKrpx9D6qdueD3JSNfMGyOTErynln5OEylifqR738KYEGLxkXKnRQ2cOaQS1
LG3sDLaxrsYQ9r5rEgk7A4ruUoL+iOTkQIlKVKpxHTb76ya0sIfDOsRbWEYJDrlP7wFkBlNN145r
Ua2qqram1g0jpAxKVKg9qVq4jXwXIlBTptglZ7gYuoN8kw6ktIqCbAiykas8S1Zp4Z4pXf95wMB2
AqfD5dSZLJv8hOqGS/aWo+dkhsE0smi4ooYFysYGu9i4eBS1PWBMy7lCRquZxOxDSOQA9OyFD4Rj
5bMusU+FapHa1/0saNovdW/gPe3FqyTAEAsz5asqS4dFZ2L1YzYOwKG2qKl4j/0swuUZH7GU1qXo
h3PsmstGM8zChuDU2e2jpPcwJsAZNbCgp4mrPPZ9ngEDqxYhUJwAZv4U0gFS3eA6kX393Bjs5WHR
ndFWQgwzaHHfy7RbpBUWhdWoC6COwK4Q/nLpSZ/oPgeFXs8uQjW7KYoOVWvkfbC889HhAkOGDwUa
OxCiv+nIoxHLURLUOKbH0QwKBw6ZuXequ4gm5MhGCWMZ2gh9SLkuiyAbWRLVmvo8wRZgEcVleIZw
6hIBhPuG2uGUFClYagMeJ5LpXfVWGVArqqdKUZ+2DVoAhVzee5kIr5GxGgbltvb6OQ3jdhLC1onS
8AalhbPA0GaRRQpummMwdzHoRmdMcmHwuv5U7p0r2cjQXyu0pyxWqmOFKjZW0dmFoaT10kceIdWi
Txizf04QuMvy4lLyoZVR+IM2HcNhEcKyYZx87ix7Jsy/G1l7kLFnnVlUMtouvu0jA60LwSJ1car0
bd+YDlXYMtFVf5XnpTLTHFB4ftfdp5YquLr1fe92nxW9utMrhAkQslmmvnMZVgYCdzhfG/U3doUU
u6aumzZWhO9ghHqXjcGmVje3GJxFpMMKTl2DBxVa90AUFzeNOT5EtveV/jgq8wGibWjGF/OwhdGk
y82nNpDByWKwPstMH2Z+dipbzjqlwEsfrFCnaqbcwkHBolK/yyt5iTzXVYcJ26QPtFuO99AXfDlB
mEG6oAV3Hli5NNWiYNEH8T325LhOKcM68cb+OBq846ZFvAhQkzNNJYpPWoLAPNi5hzClYgsvjHNV
DxXPkcFKA1fHMGssBbBikXTYGLpqjCsVBMuJKWEpWQ2XiqI/lTFgq6wsLijnfsoK1z8tE2yiTaV/
igLnBq1azitQARFN7IdJNQ4/upbqK1bw5FCeqk9VG9m0vKqVZWx1QmQZrwSXurQJ+mYSKagwZXmA
Ns+QGVOA6MeR169Nv07ntZmm8950KKkV51iwk1r1yB/1GEWX0cCEqi0kQ+QfZaevvCw4HuhtpRag
PtMvTiwtwtAXuUi5LNqF3UuwARtK7WAcT7waHSEQGBT01fAcmYpT0ARoQ4YryKDX6E6skjg88evi
1vWLH3WP81DalWdD5l6ivXKX236ICinlOCjd5sohLhIbM1ZuDJQva4T5d3afZtDOOAKxZoFqGnAn
550HQT5ou89OVTeTJpNY02nOxYPooddqjeXYAyUBl5rYmHc4vYop28AZo3vqSohalhEG83TQV76Z
PPQDI6o4zW2MLMbcbbPPZYjrq1ZJn1XSUN+rYbNHlkyuKmBv2XdH1QH1yD9ahclAhfUux8iRQj9M
diOuK0JEintGYl0hZYhZmqsgqMiJII7bC0OKbvios67xL2EKYsCqw0f0WkmdjLF1RhVK4yAqn4Dt
CaYNOeaJ3iFOk7vw9hyEZeLgKemA97l6RzG6G9NjQPOfUBIYp6bVj3RzntFD/86SNlkSacXvsqTH
7Dsp0VsXHN70d5qEWq8gpNAQBNpN3fCnjiDADYOASDIEef6ZDr0tNiq8CY40bkloLf1s/A1Rmo4g
jBkNjSbwl5Qh/6DWKFAeP9GkBMVFpxcJ/gOYk6xtCM4/JUlFVug1K8y/KpoQ8QcUMCTOcdalogY+
7QtPcqVxHuVZB7S2yUcZOenA0t3ZUFOxWKDro9S3nal4zg+gX8elhAjPGuGiUJ53XRpLKz505Z4q
fogoH2qPElosURok1Np1H/E5paG+BxbJQD9tGpPqAyq1UgvaRztQlqC+RdVumGC/aY0TuBa0/K1n
kEMcGoigsqMax4VXsomlCSqHZtHF5aX3DJFokC625h4AEnMSYfcoP4MojMCpl/+e+s9TXxS/fz31
b4OnstxRaBfv2s59VYbwr8C/Q+AD8LbD7NseEajBo/VFVq4phpDEplG+bYdTTcd2G8DQC2qJC26P
CHTX8UCjAG9YGvS+PyQ0iEd7M/tp1bME6YfDQWVJvS60j5xxfTULwB3ZVBfdZETvS/maeY+yw5yk
gFHiDIMvL7YPmOecdTk/L1Xr0oQr2xT5ArGdmxh/GbyGphwN+mUV+V/S0lgWONFoKfRZukyTynqA
e5aTDtS0dCNIQBb2pMLORvWaT2TZd9CmiknjADUsCqWeQdp5cHHDIWasjCGcJ7jkjDimK7jmIDCI
2hg+Or6RztGmsVApDo6rBvmbEM8dxbOOIczj5RzV7HD+Q5ikn0Zcepyw+MLxi2MJ/j1Sl94XZfM5
UhJyQBx+SkdajDj+BE4ERQAPoNzBKYqS4swOagRWkQycWDgG1WQ1ER1ScfBfWngKlRVcqQGXoaJT
URPAPPqE5isWWa6+CmVQiGEnHdPTRUM3gD7cYNCQ6f2JSrO1y82bLqdVUCflpxivo1iYHpmFferh
goT4OHYc2CLlcn+Osa4x6TxLmht4J9XAUWFMNysdVyXToYBd4LM0KI+IaX31cF8abAO9SmHINNrd
10hYNMWFRs1ff9Isog5iJp9MYeeE6DUCmLq7qIXV09Bh+iT3A2WtYWnb3TwHVIa1PPmrMIrqNqZR
GMC35QXhT/HnLhS8JXYJRo+oVDCAaMvl+iSzbW9eWw7erWqNFlKRyaUFs0132zlU59pZx23RQW82
1HpmRjJmzL3WDfoUlBIWDDHdeM8vimmuO+dJUxRzOdO+p35ZTCQXKoGmo6CK+g3/1SEONVbfTbfR
p05U/AB8Z04G5JSGlO6kpQz0k43oxhrpTVuadSH5yNzWas41SDwzyf8S9/pDaveYkPXtbd5E/hTz
qADOv/EY5tUPdeifgB4PE/gfnz1TZypoGlVQcpkIcb4ylQK4ebU21432CsiHx0kgOtb98gE6TL3Q
JD3Gb9F+GGrqmrmOaJtpdY+VjU0WLshCBLoGKBdUNhYejncee2TeAO7QF/VO8YN91Ht8KBPmC2pf
RjSuSFKXYZZftxpVRR+Ps1y4N5iZJ9TNJmyo9JVk896l6bQ0+ImtdPfeWFzTK57CyKvOuuoBvHM1
cQcpW0kouAczLtVTWYs4o9GnN814Ikk+2OWyBxAg9j30226aIfNOIiQpRjO9GOGUcDamVqyX+Fq1
FE+LISpJFAin/x+wCV4eUZj+zZ8zm+sGRufNU4VgdLXNNsRvrzJUtu+y/90f/f5CLznV3ZA//ed/
rB+TIIU3VZfB95pu6Nt8SwfX+mqnen6w56f+7XXiNWrIzSN30CwYCjIbgYn4pXhxlzgDmbj5tYQ/
EVsZeZom4LX/fI2/G4Xff8DNcP7+b3778G8HQXCk9xwE/UiRgZvZ2ssgkKu+GgRKftCrKflsmN8/
zZNfzYTff74PHwNl/zEwjyhqivKkgUaXeL0dA2qb/I4JQdv+ICeCSPL3nAjWkbY5Y9ibMWDOv5oI
rAbQCdBO9Q1+/f94JvwcEQy+t//F5+cD/hwMBDiEUxHMJPFiQF99fFHfhuOCN4uyGZ8DnQkvU3Rj
bP13qPqjuKiTpqswo7bL4e1MgL8loqJuKRQeNkN1kItC20zUfYYCCjboDOSh3o0BKF2gRMTNl5hx
oNNBJZ7vFxioPtDrwTJXQRlBvOjsvFoZnPg4zhk4VW/u9X8cGHbkCho/228Q6GEZlEyEUvZmENgI
Xg+CGKVnoDUqPwe7JnQefu+hoAeI2h4oNbT+xOvdUKhHtAjpwG1G/QCnw0eMAfqHSBduV/+uMVDZ
LBFDPNDAIO8fHO0jpCFg0WqoP4vX2xipqkfoWkB+UPjNYe4QxLI9A4N1BHQMPzaAm5vX28CADRyi
WYatbWbd4S0HQc3ecxDsI13IcJMePQc/YSLwOjo+76Mm/f9Nsn6Ag7D/Psk2aAl4sfYyCO+Okyp6
pxy2bHUz6w5vEOTNOt0nYTKPLE0xUbV7yZKZ9K9mAmk0ojb8oxzEKWJHsiB0dvZcDhylZBPOEcqo
z693gRFcOdI95M+HnCwIVaK9h8I4ghek03MyN5Fhx7FKbCLggzZR6PAWhZCm3Hs+0NjjGCG/ZEzv
5oN6BLcAXoLYQrnX4Q2CMAjdcxCQiLapNAE62L0oiAy0YxSEOQ52EPbPFpwj6gdER+dXe4RyZNCb
BcR2sGep/StN2pFjywjHv4SE96UW4ieyY1TbDjVlMvbfI6g5ajKqsLT0n187AiMAAgpuAj1wkDFB
1ET2jAlIVSBDYYOT+EVM4KxpgHoAGXqog7D/7mALLy0xDC8zge/7Vcok2hAWqHjMmjevAx0KZf/I
wDGBUhtMdWh/4vV2KBCVQqyZ+GltYsehzgqhJrXn0rCOHDIGXQga7xwKZgWWC4gyOsbz7w91KISK
9J5DoYsTtMiOfn2mwGtTA0j3UqE80AXyTjz5z1uWzpGhYk4PXv5tkKDWgqkM3czN1nR4KeTLqXef
wyV9B2oMOn24X6wJKo8oGAmQ0YFOAX3/FJJBMNgsIB1vBoGF/3q7wHFFSLXKL/c6vJkgVPD3DAlQ
SgCQgZ982RLflhnoSXDMYJiMw94ohBrLfkMBRx1dRAVll3chgda+ieswpfrDzhv2zyPNI5ThCX0c
sbeb4es1ASjRpBRN7/ZAA8NL+WOf6Mj5GVtjTtgvg/A2eRJ5JAZJNOo2QejwAoP+EccqSi0K9k8v
qQBz6/VMIDoCJuXYdaiDIO+9RdCxJXME0CK6M+JFvH09CNRiZF2jQ3eo+6TAYu0XF/GMQE/jufS4
GYR3M4FSC2VJUPCHmjqr+7fozCMTliKpwq8aMwqsTTCceOwdaGB86RPsFxiZ7GBVAHs/v/ior5cD
xiMKtFUKb4c6CPvHBFoOoO6FAfjm9W53kMG4kTxzzjrQQXgphO0zEzhUC7MYTs2bQXiXO6PXZ6uK
glP4gQ6C4CvsHRgdDSFtFY7G8+vd7oAWLDMBDtKhtuiE5+ieg2BSWOQcRdK4GYR3BwjwPDIyy3iU
HehMkPefCfYRkCbDJC7s3iJFs5aXQV/7QAdB37/8SktGQ++bNGD3IJA2I1HAAetgM0ah0LDnchBF
BVSktw3rdxmjaM6RNtO2OtQDlLF/ssRyECa11I/eJggk1AiaKBynD3QdvNOx/fPSItYLeCsgSPuS
IbzdG5kCuP5a8PdeIJAHOhRC8HzP1WBQRlRNzsqcE8Xr7VBQXULjBNdK9VBXg+ic7DkINgVlk7BI
J/b59S5rZhBAwwqB9wOdCS8Hu30SRtGvZ1uwsCl5fr2bCRonaWxENRExGfADrKnsvzlwkkYrgjLi
Bq30rivHcuCXdGgoOovXoQbJlwfbZz7YqIjSe2Qo3m4RlGERY3um6B/yGAh58D0DA6mzrNKGYqvc
vN4MBfQQUinTBLxwqGti71xBlNhgsbNLbDsQbwYB7DPmwhgLHyyQx9gs0z1Wg2g9gNujTf1SbH13
kqSwQjZFX/ZQQ8I7YeE/zpsYBNAIJoypX3SnmQnskZwjBdjnkKPjR2wUuC+rfNsvHYh3KQPFdyCA
cKT/oLLwP9hS/yYoT/0gfnymJiOkuovB/Ks/2HJW3//+J+LxM83w1V8KqvLm5htmrvj//3rNXH5O
CX767TZFeL7Ty/tfPuL7m7+62fZzbX94jBrHuvzuD8+/GF4e9GKdwG3+75h/Pa5/JkmSwWgiYm9/
tptm/ffe8Puroxv5tL3QyeN//oe4uPjStz/b5+LJ+jErtxf66eLEkH/G8T1B/H/05JOmrnc9ODN1
72tP1/G65Supttf66dlJx/e//u/sZJ85+3uM+jRL63L91zSr6nezhi+W9br388+e4r8usnLn+HOE
2Pv68/ivWVYyebbX+mn82Zn2vv6iRJx518VJc/a++O+s0/f9brGm/ZbFj/X2Mf8ZFwE/2PvRT5L8
qQzW8fZSP13+I5bsb6wm9x2Y1VO5w65esB72HpRVkHo7AoEQK9j72mfraEcME42yD7h0VT3tGpOP
WKBnWfXXf6feU/y0a2Q+Yomerx8JwNtx+GkifsQSFW5Qu4bmI3bUf+E0te9EP39KEa0LdkUvUSTZ
e9qcP5Xfnx63F/pn3AW+YP+LZ78W3Nt7YH4tefwBl66fyqdhOwI/jcpHrNSLdb5jogsQ2N4DfvHU
rt/njgZ6yh9w8ctyTQjYXuinQfmIJXoVr78/7cgdRZ1272G5iptkV3InWrJ7X/wmIHWsgscdIyNc
Z/a+/u36e8mRIK13JDBCHuEDbpD+NXlKg503+Igd9XYtblCm6/JxZyATWkgf8ilmwZO3a5Q+YtWK
D7FgBXwPqu+77vERy1fc4zRbF82u3UowEz5klM6aoPrr8ltQ5bs+x0csZvE5ztf1067rf8R65vr1
+q/Juvy23pUzCOLCR4wU95jGu+/wMQtbfIpp2Yzbx/0npgo85f4fwV/vPBPqH7Kof6couu8O/C+s
lPe+fBavd2VUoh+2/6iTmOzyNBNiDftfvF4jsBivmx15uNDV2/8GosyyYx8WcI29L/5bu7d9v9Q7
cvyg3pG0iXL5/o/eEAl2bPGCtPMBF6dAlOyqywnk3N6X/8wVml2BUnDD9776QxbviPMC1LH/pZtv
OzJlYVDyLy69qyz7d4v3fbF2q2y4622va9HiL77HT+vyv/4fAAAA//8=</cx:binary>
              </cx:geoCache>
            </cx:geography>
          </cx:layoutPr>
          <cx:valueColors>
            <cx:minColor>
              <a:schemeClr val="accent6">
                <a:lumMod val="40000"/>
                <a:lumOff val="60000"/>
              </a:schemeClr>
            </cx:minColor>
            <cx:maxColor>
              <a:srgbClr val="012B22"/>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plotSurface>
          <cx:spPr>
            <a:solidFill>
              <a:schemeClr val="bg1">
                <a:lumMod val="85000"/>
              </a:schemeClr>
            </a:solidFill>
          </cx:spPr>
        </cx:plotSurface>
        <cx:series layoutId="regionMap" uniqueId="{00000000-158A-4147-B811-43950A5C847C}">
          <cx:tx>
            <cx:txData>
              <cx:f>_xlchart.v5.10</cx:f>
              <cx:v>Sum of Amt</cx:v>
            </cx:txData>
          </cx:tx>
          <cx:spPr>
            <a:ln w="6350">
              <a:solidFill>
                <a:schemeClr val="accent2">
                  <a:lumMod val="60000"/>
                  <a:lumOff val="40000"/>
                  <a:alpha val="94000"/>
                </a:schemeClr>
              </a:solidFill>
            </a:ln>
          </cx:spPr>
          <cx:dataId val="0"/>
          <cx:layoutPr>
            <cx:geography cultureLanguage="en-US" cultureRegion="IN" attribution="Powered by Bing">
              <cx:geoCache provider="{E9337A44-BEBE-4D9F-B70C-5C5E7DAFC167}">
                <cx:binary>3F3Zctw4sv0Vh58v1VgIApiYnogmWZtU2r20+4VRlsrcV3D/+psl2T0qFuWmbrgeblX3TIdNJpjk
ARKZJxPAvx/afz1E203xro2jRP3rof39vVeW2b9++009eNt4o85i/6FIVfqtPHtI49/Sb9/8h+1v
j8Wm8RP3N4Kw/tuDtynKbfv+P/+G1txtuk4fNqWfJrfVtujutqqKSvWTa6OX3m0eYz+xfVUW/kOJ
f39vbSL/W1ok/ub9/jXy+/t7X4V+l1bvrLRKyu79u21S+mX3ocu2v7/fa4i8f/fb8HkHur2LQP2y
egRhHZ9xipkgBpXPv/fvojRxv1/WMCFnBmUGQwb98dirTQySb9HpSaPN42OxVQpe7um/Iy3svQl8
kT8mfImH3RfZoeACIL+//5j45fbx3X25Kbfq/TtfpU+frOisdPe6H++fvs9v+zj+59+Dv4AvNvib
F1APP+8/XdpH85+Q3iTvzG2RbIpHP0l/Pd5UP8NIUCwoRU8/QHUPb8zPiNSR5HIA95sVewX08Xam
QD8ueWIdYL0Jt0eAXZ4hnWKO5HfYwU7swQ7DXGKGDcGNfdyn6jOO9p70BIz37j8xZC+3xQOYpid7
9CtNOOVnFBnSEIZ4tuBiiC060wWWHHP9acjjfYSn6zWO8UB+AsoDiRPD+RNMzlWxOQLQ+hkRYLwR
5eNAYwm2m2JkIOgCzy7C81z9BpXGMR42MAHkociJofxHBF7Q4zFQ5mcC6YKIHx4ZHw5nckY40bkB
NvwlyG/QaBzkYQMTQB6KnBjI641S2+TXj2QdLDJmupDk2QlDQy+MoDMDLuvCAPRfgjxdo3GMB/IT
IB5InBjCyyr+mkaP5VEw5sLAuk7Ao9r3tcAHNzBFMMZ/hFwvIX6LSuMgH7QwAeYDmRMDep2qd38k
7jbaql+PNURViBFChc5emZnFGdEp1cEHG3PB3qjcOOpjjUwAfkzsxLC/3yTl5p25Kb5ujuSX6QSB
qZb4GX0InfcGPPhlhhRUx9QYG/BvVm8c//FmJvSAccHT6wPvbH/rHoNTIWccM84kGUZeQKZggwpg
W77bhf3JHD78dJ1eBX3QxDTAB0InBvYsemenxebxGGCLM06kwcgPvnQ42MF1g/AM64IZY6b+TaqN
Y37YxATMD4VODPPLTeEfwVUHdkVyHUY3+g74cIwDc8aATwXrPwi6Jys0jvK++ASE9wVODN3nOcqK
jjOBA4MGvhlwo68xaPhMCIF1prMDCw6exWS1xpEee7cJeI+JnRrqVVluiyP46/IMU0IIJt89toNB
jc8MwiB4kwM6/H6yRq9gvS8/BeZ9iVNDOI02R8lzQcAF+AnOvyc8gPTe88nBbCNdCob0IcKTNXoF
4X35KQjvS5wYwlYK+dkdT6p2lvJX56+pOEMYrDZ9jRMHnDEFZ4zjwfT8Vr3G0R5tZQLmo3InhvyX
6usxEAfbDeQpg4TWM3l6kMrEZwzSmEIfVixM1Wcc6T3pCQjv3X9iyN5vHgpIfyTlcQIsxg0JYxY9
kyUH+Q98psvdP3Q0nfk23caxHmljAuIjUqeGu78tjsKgyTOIlikQ4s+QjuVD4CJwbDBh736DFPb9
ZL1ewXtffgrW+xInhrO9jd5dpVDz9usn7F3BGdM5J7tZe/c7GN6Q5YZaFUhvDvKbb1JqHOfDJiZA
fSh0YmjvaMhLqJc7hjHnUHoCaMsfBOgB2pDMJhBZS304pN+i1Djah+81Ae1DoRNDe0cTZana/Pqh
DVQZgE04VJM+e2bDmAvyINLQuSBQh/b02ydT3qLZOOIHLUwA/EDmxPDedeh5sUkefPWQ/vjgv6By
GNDmAiEOxNgzmAdEODmDtBjUFlO48jLBvafRlG44DvZ4MxMQHxc8NdjTJI2PMcjFmU6lITkM4qff
QenKUzbM0MEUDGCfrNEreO/LTwF6X+LEEJ5DNf1RqDNjtyTAgAj79XQ2Fwz+wQM2fLpG4wgP5Ccg
PJA4MYQvof9OsY9vW/IBlBlhDGqTftjtoU+2KyMlYNVhlt4fwVP1GUd3T3oCtnv3nxiyi2ibHCNZ
CXE0QUCNHdacAQ0qBeaUDaKqyZqMg7ovPgHVfYETg/UClowdo7zMOKMEQmb9R3nZ0NXaFRjBNUhn
wVh+6WpNVmgc3X3xCejuC5waurAu6wjmmJ1RDlQm05/rRXbc1l6mCsDdpTggYTkEd6I+r2D7UnoK
tC/vPzFkYblg4qtoUx1j8HIYmwgMr/Ha0it8htCuOpQPMlRv02oc5ZE2JmA9InViiF9uk8f04ThL
LHcJqh2xyfE4DUIoMJzcoHTHfb601m9SahzvwyYmwH0odGJo7yL+deWrd9dffZUdw6dmsDSLGBhW
bLyCOSzoAPuOMRn41P8H1caRf62hCfi/JnpiveBLGh0DenFmcA4ENoJoeG/iJpDq4FDyD4s99sf5
VEXGgd6TnoDu3v0nBumdX28L5T8eIVFF6ZkUiFH63S079MugapBzBD73YEi/SalxjA+bmAD0odCJ
oX0NNLZ7HKhh7YYuhLGbt+E3LAeEOn7BKJLGMPE8XaNxnAfyE0AeSJwYwjfR5uEoBZ/iDPisHcby
FdYanHAOOyQg8twDBkN6ul7jOA/kJ+A8kDgxnD9svc0xshOwsBZzcLTYj8LeIVMC5YAEFmLpBn7O
UQ5m5ul6jeM8kJ+A80DixHC+9zbqGGWfgDPjUOAn6GtFgOQM1l0hAU75vu81XaNxhAfyExAeSJwa
whBanaebvDrW4htYeqMTSCQ//Q6SjRh2vABeVMrxurC3KfcK4iONTIF9ROzEsL9MgUP59YwolIjp
Ekngs78vlz1YQA+jXydMB050f3BPVmgc6X3xCRjvC5wYun/EsIDyGItvxBkstjIQFHsOA2ZYOskJ
bGGDnr20weQ8XaFxeAfyE/AdSJwYwB8qWE53jHAK0lUU7Rys7872SEaDyN2COjYYv9M1Gkd4ID8B
4YHEiSFspVF1lEo/qBBAklADP0+76GANBqyugp2qDDlcMDldo3GEB/ITEB5InBjCV5vsOEVeBCq8
dEgov+J3QRgF2xMhKPXcn4Gn6jOO7p70BGz37j8xZFdxti38TfTr/SsKFXqwVwXb0R2jXjVmsByD
QQEYzNK732Aefotm4zgftDAB6wOZE8P7cvO4PcraGgOKrgnU/cAWBj/Q3E9ToDPY3BfKNfGA9Jqu
0TjKA/kJGA8kTgxhSLPtuJCi6o8wpgFlDrwW+hEzDSns3XpnKOoDn2xIiLxJq3GkR95sAtojUieG
uLlbu38EsKHMDwONCTVDz2z1AdiwBBbqiSDbPDDdkxUax3lffALE+wInhi4UqMLuFNvuCAAbkFOG
rDJFrxXZw/4UzAACdLgJ6Ft0Gsf4oIUJMB/InBjSN1EFJwUcAWdYEEUNDptJfS+1H5Ziw2ZSUFIC
VBgdlNpP12gc5YH8BIwHEieG8IcKQuU4OYaxhg2kBGypDyT1q/4XrHzGWJADNmS6TuMoH7zVBJwP
ZE4M6T+izD8KzlAHBMMUKJFXJmWo4+Xwg6UXg4VR0zUaR3kgPwHjgcSJIXy1rTePx2BFgPUyCIcN
2L9HUiPZKAQlgNABBj72dI3GER7IT0B4IHFiCO8KFs0tHPVyjHo+A2p9YO8oCJn/LgXZj5chPYUI
gq2dByi/TatxpEfamID2iNSJIb5KuiNhjQgsmYL6zeffICOFBSybkoYByYp9nnOqPuMo70lPwHfv
/hNDFs692kAR51Hc6x16BuzyB2WaT7+DNAVUZcM2QxBKD4bym5Qax/iwiQlAHwqdGNofYJNWOLns
14dSUBHEYYUUVIt8Lxo4CKXghCNgTGAP7gEn8gaVxpEeNjAB56HI/wOUf67i3jvvzjj744e9HNlq
4o1n1MFOE1DsYRiwvfp4BLVb/ohhQwLYF+6HFX+5rAYG1d8n6z3//ZhO49i+lN17x+dX/PlHOc7p
c6+fTPf3QX/2ptzMno4IfHE43c+vPr0+nG04EP2+Pmnsg32/tHr8/T0DV+kFqLs29hY2vfyKzwj8
V2oLFYK/v9cwhlMxdgcoINj4icHuAtBgs32+RHTwuMDnhnV0AnrBbqugBHan8uD4QmC18W4pO9pB
D3tKwTSt0mp3CbJcULwPmw/BtmFQJggLKP8+v/EmjTo3Tf7+IN///C6p4pvUT0r1+3sMz8ieb3tS
FTEJJaNwPpoBpByFgjTgY7KHzd1uwS/c/T9lT9Msr6r2KmmonNWN42VmSgMeWiFv6ltDY9150NZJ
OEMoLL+UqV5/DHXV5qaSSf75xdcb0waM2VAbOKMP5jU40gvOCtqZtJfa6EmXhdKr6iuSJ/jKDfvE
MSueGp7V1mUqzbrRqy+8zjTfLGJR5lYeFKFrOr3iugWV0smjLEt0DW14lU2iCH/smSbwojOYs8Wd
htv5zzUmEOMeaAycJhx5IxmHo0/QQGOfe4BtV17RlrmubbR99LGGDVrpvORdysy6a3Fg+9wRZs+N
zje7ENFFXBcdtos6LR+9Vils+VrGbAWHc9ZmGXuoNnnBQnfmpoF3E1byPFbSUza4A/KT8vKLMGpY
O/OVZlz6hVfHi5+/1SEMUDOOIJkKu5XBRv9PL/2iU/BOcxsti9RVUjryU+oKTEw9JNA1sqRqb5q2
kPeZg6M/f/7YXV972RfhFBHYzpRTcFxgV3JCd2q9eCxDratnyk2uEtHjKxx61VWiCssXjvfp50+C
4XPwJAnBDoeTiGDDTTHoZ1mid31eeOmVyJC+yZu0iBZOKTpihpk3Q3kV9RZFnUitgLIm/qdOs+sU
+y8KHQX8cx0cNDgxZ/h4IMh9z01i/4rnIdvEQcU2YbTTgfWxmhlFmpodAugXTZQ3xMzDlG/LSKpV
Izt93Rq0QBZtgjS0Ap7EH2mREWp7ouu2mVZnNtL6mFtMpnqxZNToK/PnX2+3H8pQf74zG1AIAwd2
QZCxDxQyKpYw5miXuHLijV+UyjWxFpaJbtKuS9zzxvPDr66Q2brtc29upHrrWwTX/FvJ+z61Os/l
lp4G9dYvKH+sWebx858rqbMDkKlOoRPt/CZYuMo40Bovu5NRCB8VXkkvAz3PHCnsUnr9oi1bKudl
XVVW0eboto47Vpme53GrwMlCkSJbRHpGrDDK47ssYnFr8qhxPzdBnK46VZZmxvLso6FCYTt54lhV
GgS+6Zc0aEwnUMlVk2nqOtd6OnNdLANT650ktkjtxUtmlNEdCdwbt0toa0YVz69KJ/9QklijtlET
+JB+R8A26FXfm6gRwTrymPjioEo/9wyB173b1tJqkKfHUCPU+StNFF1sNp3obdwwze6D9iFTeXlf
IY17ZhOXfO6ovFrpDiEfcg834cLhGvbN3gudr1C2WNSmn+TaX1XMYzvLFFmFaZKtcC6jR7/ODBj3
NA7vfem03Kxz3T0vnKKyOvgOC6wTeZ03cTvTmyKfY9ziehbBvsWuVTeuyK2aeM4sVrSwq0xee47m
IhvjtFzCVEMaK0GBYYqSR3+2MfIuSCGze0ZLtqhkoJG5MuJ+I4y0mCnUBv28DoU719oWbYiKmm/K
zTJm9aRElZm4pHbnbRmkMDiaZta5dSXmRep4dlTSeJnArSZs5Fak8KHjmpuBCgLN4k7DTZ6ytjf1
MnIsWmpJvCiMcObqVYduG4p1OO+4QJEZQE8q57RspFq0lLdrI+z7yLmtmryMY7Pzoy4pHj3HI6T/
ohqt5bFnygJMefpAujgoaQGZxarK0FUZlnHYnks/7xe1rEpnFRe+n5kBidJ7xDW6CjpKK6sCDByz
y5FsAa5YCDtxHJgPyyhs8pkRNi6yiqjEzrWXI4Ony7DjjWd3bSTLtaFKCj2qcVKsGquCuXBuaF7g
XNcwdAzXykUmoMPRUMXzJPILaUY5TF7OrK19w9Ic8FyZ2Tko0WEbbCeOLU9WjTNvIh7FM+WAVzBn
iRv3lugZWMyEhHplxV6hRWatOlfdKF+L41nq+uKbVtXcRzZKSbnwdVGJK6Y5rnOeUF5yFlhJq/K+
Wyqo6Si8WeZ6PJ45qu7zuSxU4s+7yIi7JVIqzixGusi3eMu6aFH4ua9ZACv5rGVxj21Y+RjGNvwP
addRgDQFnzxJPgdxLOMVLWQZzUKvNO76qqR0HmgpwRde4ymemNwjXrlwijpL7mEypueB25NwXmWg
wSwtI7efCdz20hJBlzWXseiga2swVArbwbg6Lyhjke061K1sntQAp88V+CdJH9B+G4WwAZktQIHY
pl3s5SuMfH3p+jw0LBKGObX91HfsvnJCZmpNkcmbwGkC3aJ+HvRmnAW9doGcSJ/jzHEZqCt5NsOd
16crz8eNOwul7jXm7j4TS18m0H1cmltt42u9Wba+9lcBhFSnmT6MI3KF+8TvfVPUukY/dFFDqisj
k11qJzIvL1mVwJTkKh6CgIwpfC3H93DypcdR4p3nXRy1c9Ww3r/ApVt+0APCNqx1YscUGDrvvEpa
TmfK6H1QvsJBbEc0D5UlGmfmYz//EjUNeBaBG9T3ihnN16zw6LLmjevMRMgQMRPhQDssSoN2nhQ1
vurbjOq3qmT4Ay41uKMxNCWsEne8ndUkDvxl0RLSrBLuKnLta1x+SlC+65xBkKsFj5SnbtpOL4WF
8gaw8ZoEFEsVGN0LmMHkJyoQ9O4YrGRhw/GzbboqlXTITVBUYXhHRCL1VasHTXVZtuXO+fS69oaF
mtHO0iaGR6dp39dmS+KyX6CQ715+p3oD9gn0ymJ8pbME3qLKGXwqL0zD3pJhDUMni9zQv00KDkO+
qMArcOEa2FRSJt51jvWuSEyaeQjgboq2uow1L1Omj6q8nbeQc6ezrs7JzmjAYLLgjcCAtBLv/OQy
iT85cPjPuah9X5jCYyH0i841Nk1CQY22CLo7WrZIXbjg5gYXaZaEwb2A2WKhEoSvcunmX4BANnLT
0z2fnKfCldWF46VubXcFzxtwcDu6yAh8VgvxvHsIo5DdtJVC6TJHXR1+bozYVcvY0eJvXS93NsTP
I8+GOEDQmU86T80zI5afNeTE87jJ3NzkOpi5rmi8Oz8t1YWMw4DZjBTEBbMHG/KatUfkpyLQancW
kQSGSa85VK70JMX5NgaD3J3D/lEwNpqdxZ4FTIMv2tZ9PYNJpskvcFERw3JkVNYw09IageudB38V
spYftA7c9PNelgV+LFXSKTPGmNcrvyHQVBtjr7f0xjXcVQawNJYWSmPep3VdXrYdj+6DWuWm4Gqp
x23Nln1jADghwqpfZFGYppeJ0eprrUR6OvPyJK4v3K7JPEswFXsfwBNRj0gmYEbAdKraDD3VKFM2
tchhFujy+8jNsf8nTnsqarMHD6z7mJVUk9CYcoqZx7XQPdecrPnquUirrYgrI1z5EuHbVmlOvyiq
XPkzv6+gk/qkDOhNG0Y9u4qNLIrMPKuRcaljT2+tDrwbNWu8DFBrROK7ZtHzGGyHUtEMt7Qt7Doi
olj0IofeH+qty+3O6ZCynEwZ+eeGdfhD4BXQ12Cmk5+gr8fqJpEJBgNLMhnMRewZjdlWX4ioGoHN
MKz5R0aSvLEb5pb6pe5Eor7LHSULmNyhR88ynwKaEDh07dqnZZiueZF59Ia0KDJWTptKeK+21dzL
sNCyxo6VAzYDvLGqvIwiB/QvZOjOlSdCz25ahFZdrsO47wyD+6buePzyySv9zl3cPDv5zwH4Q5p1
he965eCP//mQxvDvv3cyf9/zRFP890+X/kORqvRb+dO7Ftt0dw6yGt601zI8/bt2O/pi7w8HVMor
ZMndVlVR+crF15mUv0uod0wDlORSBpzGCyf+gE55cWTjD5ZtX/RvTmW39xDkm5/8e4p0aPUHpwKZ
DahJgCJgTiFwhcD0b04FDrOEUgQCOQ8JW7KjJybmv5wKHHOFYX0tg/pwAefFv4VTGYmOEAIyAHZR
gHJkvts/42XcEcCAF00ig6sqnvWMwwSx0P+JKYFdWA5jMPiiBM7ogjVjcBDfIFjOHT+KWM+CqzIN
/MhOBUp2vmYnLIeScBZQiJxTmALW3BXgB2ReYEW9cwGDNLhDmXcb+WJBmOevG4QqG2GNWVhUkRlh
H1nI9VYNiVdV7V36tVxmFV6jvrmFWfIy79OLtqDXfuGeoyDszLh2XTNAuZzzLvJMp2IdGBP5iFvw
RcAPg4tlCLFOVH3zWVuYKjGM0CycSkrTAfmWa9IEmsQxzhuIXBdO03K71FRnBpJ4YBD6NDdhagZH
l+ifwLhzmMYZ/QtCJmVqQCUsfBR6xsyr8iyapV0efk5T3NmdCFG3dGXmBCtMkxLmCiqujE517YJX
YWC2hvA8s6QZFZ96kht2lBNwKLXeYAucNhC6WhkcfMpzq2Jx2Tkmapl2LXKiXUL7ma381Ay1trpI
tWQhUt23jcopTOmRyC648Jc00sPzqs0NcQPPU/Qv1rlcXZAurVPb7ehdCjRPe+PhIDNzt5MXsjD4
ee1W7pddnvZzzT3XFFHX3+tlUukrkYassIBnbPql8GrHsFCj5Mc0FdQ0Ej2baRXSbZK1nhVVYWPl
rtutasLqK1lVfFbCN18nQJZtlOdetF3twmcXxJQ5BJEkxjPY+ck33ahu7vq6Og9QF81kiuWd2zFs
loHn26KT3jzNYmS1oW7XKbZ57n8WMavXAF1tG7nfz4oyIbYiBjLbqPXPgYDwZrzs+kVZRthKpKNf
Ka8mNYQ1amHQetnoCbe9lqhbNwvwTGjxpZ9ElzW43XOYLG71lK2EVwW2Y0RLYDpD26XoRsnmvoTp
+KNbt+JbilpTBaFtNK3xLfUrm8XKDp0cf0BaNXeNcq6RNJxJLZ6HQplBC5GPMrJHpUrIyEM5ZNB9
ygPNLmh9Ltt4DgYEnI9+obfoshO1TWW5xIys+8Kz3aL+ilh1mcfaPGrwjBY5+GvdQ1L1pps+QKyO
7caI6KIFL9QOWf2FGf7XqDf0GdAG6ryEyBgc/H5NYrKiLrk0sspuqvALsFHAAtLITgSfObUxd4lY
Vqj/0jpq5sYOcEEoN6njZiYGr2wVMCAXIQCwGec38I53rKoSu/V71/YLR1l6jfxLTzdCy3PIbRkl
6hJC1QuXtNCZS7yI8haZocOhl8XdhYRBhFJuElnYrRBrkdG13qaftb60QsbvK+LeJnm25vDnmsh1
XNW3nvTPI5LNiBP4QHe0JulCbAZek1kV8FiWW6CrUAv/SkP8VxbG574KL9JInAcVvu0bbIPPZqdR
dMn0wMqjvLvoOV8Cv+uBi9o95CFfVpLZssh802tbs+ubc5H23Srvk+S8FOlj3Dnc1Lwksjs3SmzW
0nCRy2zhKKzd9Z2W/wN5h3clikP2a8fewZEdAsFVMbDvXodj1RmRf5XmIZnVkexmvO5CO47raF3G
tLF57czd1Ith7Ue/xVmubvM8RB9ELyIzbdu7qgjWqHXsUPLPqC0XuWd8A2/bBe6lKGZu4CDT6NA8
7aFPR45vpQ5TVhMIYCjymthclMs6Tb8WvK8sP1CfCPfyWY1LamEUpmaUWE1uqXaFs5CbpZMscFAs
iF7fRCRdqJg/dlF8X/HgHCLNi15F53lF1jxL10IRuSgbiABV5y9J6zFL1b5lOFo69/Rg4TLEbYXU
nd5V2Mo84xx5EsY1ddHaKXFpBkX7MfBrHXiWKoe+QK51v0+s3DA6q/XDyzrrrzwVrMKGLVhT+rYf
5SsnCaVZicI34x25UwYz5mZr8A+BBk8giIuaCyhyXMK8VpigZQ/zmpqnQXEdBtEdnH/omnVSR7aR
aL5FM2Q6RXHjU1XbcS8TsyiCj3qn56bb+huJ+AUwWr7ZQgcVRT+HsPsxzNECZzEzdfwliDs7poYF
SwCXDdghqmCxuORrlAMp70rt0cFGb0KQYxqVas0wivFKy3a2rFz73PiToGiOINgxhRZ+6WKCrUB1
4Uz33GvaM2wnHgHHMgvEEoLV6lNKaXPh+3lxGUHwuHrhPX33NV8md4a5CSDTd8cSCA5r2iBjtNuW
b88R6Qtg6mugmZ3Kt2lwXpB/YoJ3RO9/iWxoknLIPFOo5DVgmyGxW7f+8gnALSdMSNe9igygOY1r
v/KXfnZXNAH0hMjyDWBvgtnP3woW3P7DU3fv/SJPUGVhmelU0y5Rl9zvzi83gXS+h1nxT1cH38OT
SWCVgn02HLqqqyS0aiAFYVQ0qYWIn1pJ0f+ZanztlzqyINKaR7LBX4WncztGwUdDxI3tht0Fj/Qv
hgMsHY6oUUFvStJZ1fNkJjItt3FWC4snXbeqgOb4miZBOdf7GAJZ33+IoK/OgJDzbLDAnV0KA1l1
Je8rPeoXYA8/Vm5NVrFLb7yufAy4XMKk9EEVxdzYxXiEBUuKPG0WIPBQoiZJFl1fISuPDd0uGuaZ
3G/viJfYie/XVk5dw2Syu4BO/y1XkDJQmb8qdG3ZNfqHtg8+6yg8Z2VamJAuc03foZEVlH4CnZit
wj64IA2ElJ1DbBohBBNMCFYWfa5RBzcH8aXw2kVSNLPa6aEHo1lYukAG0sxOg1iYWR8Iu4icyywX
lsv4EqcGcIJue+8ZAThwmfahKsPMpLREVs/LhZb5sYmrdGO4+WWB4ts8i60C6BRT4fOa1ZpZM7rk
iQCLiPHHpPOWrdO2dl1UV5kBc2SQsVVR6FuRo8pygM/Imb5wM33Nm8j6h+72T31854i/6G2NDi4G
6aG3Bevkxr3S5vlF/qlZ9Cu2NNYCph7rgTQmO8eXyV/Nxc8fvjtpe2SAcQob1xMoBNilo18+HGee
SEKha5eZzcxkTaxsXrUmvtA+8zmaoY/XmrX+XM8CZdYb+L/oqlsj89yfO1c0M+N/0GZ/4nse7RSB
ewkroCGMYoNcZ4eaWMc48K48dJPRCIinz0W9/Pkb79usw2cMMnN9EVea50UeTK5bt1jK7vbn7Y++
A+wAz7kAihs2H97/oHFr9BoCyvgq1W5yCeOBgc/5bKF+dZD//zB8h6/520seYK8aYr0JtyNxO8j8
iNthsR6s7sKGjqEgAgJkAPdH3A6bxyKpE9g6AfJNBtzx37gdVoVBHI+gEAYuQhkFNPgjbofadFhm
giBxDGnqp5D+h3bfp8ef1ULAvLU32hgE7bD6CM7cBL8OKnKACdjvHJICY4ryhF2HdeReaG6cO/dt
Gyb50iB+uGiAkDA7ru8SJ8x2IQBf6QVrLFZpbBk6kB6MOxJfNg2SoRlEAs3bqgtMHdIbJo3xWrAk
MJvAL8zQTc41GbBL3js5REloDswoM90ynMtebBkQh1A50Li248CUYhkQriVtcxEk0VwTtQfhdVDd
lbVakbo1/opacHNU4MlZg4NFBHRrT7NFQ9y7HCcQ2xtdD+FYUFtJXCxLSK1LJbfcqW59Kq77XKyA
xbj3hbbQUvWn5orsInHSi9yTq8LT/RWWzZ9R6VpC8+5jwj5CNqc1wSfwoCaAZvdYuV+grHhFRQbT
lfOFStiQ2qPYBC7agbi9BgLZA3/eB7IWcgi1VRTZLuEmL3LqAVNYkItQRVc5EBMmD1wIqvQNpG2v
yz75VsKHNmWZWn3aNJCJys5jHnIrhuwhg4Qu6noTdo/npuwTSH6Q4CPPKGSAeHfeO9qfovBuYQJ0
LK8MVpWbQJDNVT+TnWemImnNDCgHK2jSJcx+X8LOXYSpllqMglvodpAycDPvQUGphtVlmNkJ7haG
BtGOK6GAA7InSaYTuymBwPaL4lPmeDoEgt8q8NyXRmjImePmoekySPlw/E1rlW9Bte51HoFj3Pt+
YtU8/yAKoa01GS0hsL+NgByXNSRj9RoKD8rsf9k7s+66bWwJ/yJmcQCnx8vhjDo6mizbeuGyJRkE
QRIgAZAgf/0tOu3ESbqzVt7z1mlHka1jAntXfVWEh097nlmXLi9Lv54SSt7iUAVlMzVpDtn3Mxnl
KaTkxbrr/ZA4T9PofZ4lNAhQRt/ijiw7MfO0lKq57eLlwJVNs5F4Km/M/G6TVGSOF9K8lnTX+OZ1
qcc5C8JgF0/8FdoRfr0Z5bjzWaS+TgAqbmwY1i3MHEv3Gj0oLZTZhezx548O3eLZPqtCZtJ86sYF
m0cSO2OGOwOflB/3aTlU+GK+/cRhPHGMIbrgwL12KY7kBVqQQ/Ne1vVhmdzriofhfkmaGONSMt9L
okIM7f4pCJogJzTNggFfszLpXBtKgyy2roCkP8040oeAZ9xb3JIEzB672AmzcBDslCR23cdTOJeC
MZ0tNdZwd5p2s+5eE5deh4mKDIfUJTAD3MA0vV9UTAvVNrdDhKXB9z7OSbg8jpDaP/deE2T+ABE7
8GzhVaMsE4gc2RgFvMTokk0ErIDtZZAFHp5ZSJL4e+OnDqxBd828GZhTR0hpKcCm2Fku3J9g4PV+
ZoCmZKaFfuIz9XU0zt4LpA/1ajz2kQkyoBAnB5LgyaNtUghIJhlsqfHFjweShX0yl5guo4ywQWd9
HbcF60a5A9DT5ate3dfB8z/BDq12KYTKch7nZN+vEOY4b8O96LTIlNO4+4kPIvP87fOtoi5bSXUe
0noP0+6W4YnK5xUaUTre1zP+1K4T7jwqzjD+9qyrdCnSFirLOl7QF57kto4x/yUGn9Da5lLxHeSk
Zdf13X0dMsy0GIFzkYTnhBoY1tLds5B/dqdxbxz1uPJpgn44dnDrxhKOwUWZke4W09U5i8d9JeUB
69g3GsDrD3F5FNKBhuLxNvMvie2eOtW0N2k93fX4iWZQ6tKyE+GY0cE9hI3+uET9bibybKrk3cIQ
zlrRnTSfbUk9iIURefx+Mf47IWyNOf97QoDTrv/LiLB90W8jwlZYCiYWaaTtTfZR9NOIACgSLGyM
wtNfxf3fRoStHhNvhwHpgxqAKMb/+H1EQLgJ7A8gyjAMoF+m5J9I+wHoyp8H8m1E2LZqwJeAspF9
3H5/Pw/kk7QKyEMdXJXF8rja6ThDWyhwFgR48oedCLBkj3r5GPtrUChKXscgudEp9KFwczUbW5G9
HuuznoWb9W5/waM2ZskKBdCq6daOkSpIOopcCPN1SfvPNaMlrPYHDv2lX/QJHsfDICU27GExWSp9
lY2ef9N3gAaoE39QPBV5m3YafmP1YRXNxxAwRQZX2uaR7a4hDa7eHJXpIE4x1BcersFxnaoxN9xP
8gmrHsDL0k/kNyLrBzPT8NTTag+362uCIzdV67NVHaRvqJcZvAaeRaTri0BWuWuFyWNZP8+eeeF2
InnN64NvRJ9JFeMuqEHA6En3OZPBLe+GU8sxU83j+G2Yai+zjtD52ibX7cTKZzpcm3CSJ9thMDKs
okXcCRzt9Ujz1KXVrYqEWwBKWaNsIOu3xJ/47UTi15Xhhyurrr73YUFmtRrfa+2ml0a0xzB1YAH6
ctnXvUquitmujOMZn5qpSTZSTDq8szOwBBgqU+NFezZZmkUjHFwCQffepYG3X2VDodkzXIZ9QDMA
RyJjXUBLiObY3QPblg5j/r6pN5RwBRgXWRjXrhDwvyuv8OzigjNTbEdcWe3IHLTl2Gl/r0XQlX3Q
3Hj9cF51c+W9d9QLXXGKJ9+qFbRUg5u9dBQLigXzZelV8bLnhral29RYhYkHQXIcIOQ1EbwXO5p9
6sM+7ugINhDgxUM/x8neyLAuUaXTHFy3qoppaoNMBYFz3yILmHUr/qSDjaKMRW60S6ij82aZk2wR
2Jcc4By4Ljg7hUrNe+rXT4uv7oxx+7J2kiUTWn4VrQKcUEdAiIaUnGSqgox6GwK7bj8i5mNfVmHz
oQe7kimoNofFgPf1cSFC9ey9a5jA/qjlWsHDhUQdjI45JDOM2XomMwgbw954x+LMbeKqnGjnHFzd
7EzYllXVpwDfAK51aT9moJ26LCGNyZxmhlQhuzaPpia6Xz1731jzEM0dLzEieyxv/fYW9BsGTD58
0/36VePy3mnpmaxN2/HCYHbngYVZNA7RMVrm6iZy4mmfVD158B3zzFKhncLVxlb72reelzEjX2f8
ruLV4XADmzZTST3sHbY8ec7s7WxN4eRM6anv/Kic58XL0skc0YG2ZBK8JGAvWrK+d04OcQ8sCD5M
qtG5ovVTNzSnuOnv5ljljhNfVPhSxf7ZiGj6tPD2fY70jSWOk/UjnIJkNvONAel0SFMoYmzEEEa5
e+Pju9WyPk8T+TYADMq9tb24s+tlUxo/rwm4TtasSaZV96ZiwJ5gwY6iWe7Bz9+YkAFErKeg6LtE
7DnzAL9MdVjYRdhsYnEMVrs79sqXeayCcLcs+Ai9obsahz62tnpxhfksCY6HxJVTEfPxzGbvi+VR
VCoegCNUgu484+09FgCGJWM5NcrP4tXrslZNF0wxH00UukXskLvUxkkmurg/JmGIf1O7TWZ4O+VS
i7Np3AMYAszepNo1rhiuLNXwGcGJZY5NC23xcsIK7mQ4sQIYX/SZV6YLS9HbS+/rV0HiY2/CT0AH
wiPrYHSM61cAj8D6hD3gD93uah8oYuetRRvFt3WDUyYVTuaPc85TR2SwzA7OEEGYG4rGZ1BN2XwP
gP+m9VUAKav9qpMU0ldw61G5d8iwp8D58JnmtvXwz+GXOmEsV8x8Uyy+Ax+sy0ksR92RujRxmzuE
3wPBcnAXmLwNlnOt2/sOU6fH6qcWTHkd9YfYwCoxHXtqmc7Bv4xZX6k465b1UAExZW2euFC3Vern
ge++V6ZfMtxjzrJXia+SO9bxNqdR/+Bi9C//nY2+ww/bi7//92x0eR9f39/+qp98f134l/8ERlBp
tb0IL4TrhFb/GP/B3/QTNAYDZgfnnEILwYT023CEmFEUYAnGaxG3EiVsbb8PR3glJgGnAMkjQLj7
Hw5HmM7+PBwhlhL52OdAU/ggNP4kEAaOPwM24/zquUSPp1Qz6eZs6ojzEdZ1PJddNHYL8LRmuPdi
XhggBlD8DvZ4dCtMN73A0Q4gUCfPgOpAHbPpyQvIeHZtK+pPFW1sFmmsxAuYiBwwz3XhvCnCBsOO
9EMYDnP3IPhytU47ZWgC/IIHJ8zDkZ+lu96BtoJwXo3PFn69DMW6M4l9Xt35LZLxgwwE/gPBKg/U
hrvJJOJAVHqvafNtEqNfdk0XZdpzo1LOmn+oaHfnkACHs7vAHrXeNRHV/dw1ENWB6x5ohHvLjslh
irC7dXw+VJH/mUiYmLNYDI4wLEJCDFOZwvs8ALCG2Q5qIA9FFZXdUH8yfNBFH0qOeazi2SpdbxfA
6MyMEzgQkiJdH2pVURegFt6QmPlYIqElOe2hrl1ZYl4M98rz2jMkLfoAytZ+jKaRZiLu1kxZFl5Z
4vs59Zh3uyzkNFji39W9AP6pFvhbA5T6EfbirhYg3bKpw7f2m+RjBTj00PvBWkAvgPE1eRZsKa/U
qfHG/r4CV3tO5EjAPaaLovg99AM7kdiJvGPKlcN3/swhb8Xc++oNASmMcbJ4aJpLPZkMK1hTaI5V
Dwt2Rui6c8PunmDRnMEr4kYJRv7eCvNxUPxGuC4tunjet5rzHB0VlzF1LgpOf1Z3rAhl+2Dr/iT9
8bPv8JtmBrEx+N1TQOu51HXySuRw59P4tu+s0dCJYn4XNgvzSwhVAUSTsG7WC9pC+8zlc8llE+UB
maojX+qj6SowJBVmWxv5Sdmt9HUFaZtVGPIymWLYF5hi4cv0dQ6d8DXEYZmFcGJy62tVBLUtjacx
0i4fKFIJxaL7sGDT1OTLAtEA0t+txmBSJG4oDhAjWeYmtLQM/yZUmaz20jJeQAtyN+yzNkw5MGwy
7ZeaTYVr3ds4nOHUjCEGLgnowHX1OWJ2ynXY+iVrlZO5nf8SWQ9DySIe59iyLF3mNK963AUDB07E
NvnNJWmm4vi9q+hbK5I2x9OV62aB2+s0d4iCQJmb/NJzTZxjZAHv7Y1N1os53SX4q+96hBa9O2qo
maGmLHOoWGcMFLHgp15p8fTv/YH7Y0vy/9398X8tUMC3L3++QH79sp+2a4KsHxA4+LUE5u1PFwi0
+RgusRvgRsd9gV/6TxgRF8j2GQNnI1sT3x8E+PgX1IIECTZ27OUkxWX1DwR4sLJ/vkC2RR0PCxo6
UY2fbgbBz9t1YumQGpA+14ZpeUralFzG3p6Tvh2gso/PUdcVA2iyQy/idn2vhRqce7Ms2DBWloPN
b+/TWvaZ5gsObnIS2FN3Q6swb67w5HHiOHvWAk/AZrujfALlNsCTpLIiGXxXWufpNIA5imVrHhcq
P6f1Ao0UHkQWA59vcmzb5DRZZz2Fsrd1lS/Jwk6m5cXiV85BO+M3mvYr8nxutV88gWSRx1OM8nR6
luiOPkNK5Zck6BGcYY/SBDVUww6sh/QSBn/TwRA7pUBiAqgHbcv8zI/AN4xeeubxqMuBenmofb0L
rbxNQujnUyDS3dSuNnMqDR6/7ufDOKtbT6k01/3weZzpzeLNZe0uha/8i0voeV41wLdGGmiwOOqb
JMlno0zZ4xPOaOVoLJCafqtmEb0sawOcZQgHaJJIluVJrbxDOpqHmgePSeP25iij2tH3DOf8IRxk
3oNnOQzhovrHCFv3mNWmiqcsiCF9BN48NVlYhd8wWc9Htgizh0XPi7Xr75ZG3UZEnnr4f4PrnxPt
7ISaT04XFWIFpwtV1m3WPGTybe79B6bTz/8eHt+Hzw3N+N/D5xkvQf3zyQFaF1/z4+TAq6IivPAN
oEcMu2KbFH8fPaG+pTgZMJn6aO7bptIfJ0eIRt4E4bvtjSWYV38ePckvW3Y5cXEpo1sKVRX/5OT4
nuX7HUSBLJdG6BrDG65AFcYevMU/HhyxJ6kLGl/fxthPMz4BTgVABg4TkngKyT/5gkFp3g2b5uHh
bzRxEKlNzJIWMby0z8xHkhHZNGGGI8GrFjsYJA1uT+mEJr6TZBznu36WtzLg7MkZZz/N6mCNd41a
1X3S1s1LABj3HmEDupdu5XslTWdRLbgFW1b4ZIWCMChFiwEA7BbEc7omKD2k3tRnUO8NZl3brr5d
i8BEiqmd31vmnbpuXsUjXReOY2uoGr/Ugo77FLgVIsU93SMVHRWjmJs92P+hnIfKg2wfeQg7IFfm
8mh8XqfaeAeeLtFaBsosFCdVutqyNUE0XGRcOWsJdNRRR1eu0cUsqhaF9EX0yKJou8dj2ZQRsg9A
pGquH3nQjmmJp7S9Wj+q/f0Q458R9hKf1pkg7SgHypsxs7WIj0MLQ/Xf/fBXOH4DDf/3I7p1IRXs
nYq/PqffSxT/syJ60S/u9oKgbU10EWz+aUXEIxymwLECoO/JBsf//pwGv+ARggeHQhnUAn1/un9Y
7FvdAIFHgxFgI+PDf4TGYzn70w2PV0IjlJvgrcAoDgQ8vf36TzQNa5pa1YhjXqCyw72ByIboWA71
hp86hsgPtKdpjTcP1JW+Leoe8LMRVUHrnt4Epom/8LrPA0SaqDu8NHHreXezpySEzmmRaCWY+vQK
f3g90cC07DjoxX+Clu+ER0+5I4JsqaOvXRVUJ75Eri6hXzfeI4vTlpxXurbqNe1pNF/GQIINgVK4
n6K+fa+mgRWiZ6bNDdKLzd5tEm+XDgmbHvSw6COBgONkKyK1a1m5i3lZCSBz7DW1e/ZNWp3HYYBr
2/dzXdY2HfJxwH1u3IWdQ41Ud1XBAgDxXqV4nXNfp0A9qxluJQFKxfva3NVI14Fze4k5fW2guJfI
ZXe5jMJ3qbv3CKC2xo42kDdglZBv+twfKPJmqxvuNHfMyxwBEpt8F+rRzEFvJikoPc108tFzmCxS
PlevlkXTQQW9f6ydqr5xIPEfuDfGCKobe1ylHPYkhDk9TqvGTtvbPEwkCC90Q0OyrC74cGURIVuH
YaoqEt2dEwM3IqzG+LKE4XrkBAkBhAPajMBKjNnQQXH3eRbA6UXG1MB1Bd0tk/Q9IbWzT6b1ADn6
GjQs2i/VrDNHddAsqxHzGrGfSE1A0c4IHIHs2ANVt7CgbK7hY9/ywOoc+JzN0za0xYiKnbIBqnl1
KeePzhwGDwgi9O+NS8ZTNzBERCeCtgE2vPXL1PzKTv3r+G2kzt+eWls3OF7I8pfNJES3ye/zBV4q
6+PgilHQj2Phu4P3m7SFlzK46EqAo40z47t+9WO+wPqRoC0Y72vA+2h/Vb1+nFuou4Os5aMny/3O
eSX/ZL4g3h+ZU5yOsOfj1MXShBcI/Nop//O5hTi7BwM6FFdk3CCDaIuDal6W0tq+2ywL7zhXfAe9
9dh3vS8zLP2fuzQ+dRPbIfK7xzt8b2NMF8gfXpFQLF0CIazFDnzTslhg3xmfF5d8QmWCWyQKG02C
IRxU+VM0VtfG1WCOOeWYJ5r43tJg3fJ3jXTLFmSpKJJt1few86/b8p9uMgBS6C2o/aSHyahhk0Mt
WDfZwKNL4UFHWCuBdX+TFswmMjhQG+wmOyyYjkA/qxCBDIgS0+R+AFlexM1SzptsoVPC8+i7lAFN
I9rEDbnJHMMmeJipFUjJbCJI37wigZyUyyaQwKjnWQvNZO1JdWw3GcVFY4DoHXfviqA9h6Ez3yBd
jEQQdCbIJc0HnA08cxBtz0faXAX8p02ZyeaV7HRk0EQ1RHnLhw9RTK9y8ACuBDPiCmzYBUNlsgpV
JUXvtLARiTvkSEYtGR/MBc6pzPki2t06OXuc8aew95+7ZnpImwq/77kJMwQTDnEwNChrYW+TF1xo
v96ufjflBsUpmWlGAFFOXhnsd5zJG1MnmHtcP80pN7mz4uARm2SnBBARiVglYg7RsdHRPa8AHwWz
mgt/peVAumQ3O+J18EGF+6669YO5JIOzF25303Xs6rXmHATrmHdEnQd0VeCbqruBRTpLOH407gQp
kYDTUT3NVWP2wxBc4rAGXwHbIR+mBo0AXl9w6ewRkr3jVqjLiks3C0cGxzeJHrCPX1LZinJcJpuT
jsQIo4OVCgSi4S3Rqmy4GwNCrkpF1ZNNbb2bmv5CSfWyDNOya50EKfEgKkLtPpMBt3IwxIXXNsUy
YDxNGL2ns3fj2a5Ad8XtoNK3MZpl0U0KP0MVHekAAxChqxtt1JV93+nF9/0eLQb8EGPnT7l85uCp
8mmdzoqt5NIbLk8N9j/B3Qcdjm+JXHClwmfGnkj7qJDYG1PsjyP2SIF9kglxstgvMZHfobiAF4Oq
zb7dltAI2+gaOQaW+hyAdvm+rZJ+Wh/9aL3QYcTs27J5RxFfy+YgwvclCPCO+zleVbnE9WFeg7sx
/KwcjwKOSj/0KRCShp5Hfws16PA41/A+5XpnVv9QTQyKWWjucdhl46wL3w8lfCBIY9VQ3QVKgxQM
4K8n+iwMewD9mFcLfVwlGJ1oBABUQ4rIfMSs8HHF/T6lXrAbUYmwC3i0bymjh6F1cCz5dYI8XIsy
AYO/Ob2EoNp7/mbudneJdT7FpP8mRvcNNBtHHUv7DIzuJvR4kNlBkiLc+Dx3RL4mbuTXxDjVTcoR
CLSImy2ue9eJDg9DPHhXuNfv2IdsiZDgu1EoG+gi+xDMizwG/fTiiW43EPfTwuJL0iITAOi+6Cye
l4QosreGfuxtanCT9zuZLPupEoUrx7uUQbyOmt2q5JSHQ3XbxFtkJOIH0S/pCUPdh8RUBb7zlAcp
efLgnuzrUKhiHTxZStvYcnD8i8VjcAfi8AGaxMG2hOV9O3WodYG8stFTDNRGFsa6wJ+VQTxSJEcx
x5d6kDzXi4bp0CLknAhoO68MVgEiWg8cPxPcA17uU+jiuk3u4N7vwOzjU5w4AX0AQ3NaZ0xbU7Ov
hyGG5Nki6KidN5CjZZLwoQhDempDCp8QM1Bk2HQmjteX+ECXQ+jbB4tYk9dJJM4E8wqTwLi1YOyR
laFHK2xeOQVPgnONeT83bfziqpUdcRwj60JAgxC7c+rh0WfVPlqXMad1ZCAgexjWqHpFoRPLHRXs
MRqt2TQMF6rARPm+fDShvSGuanInGCDPQLbm8nYWsj1Kb75SbR/cRZQI2i87CAZnMaQHB1b2U70u
Zjcb/52nwNQhGt93ddyUa7sGv2L5/85TG5H+d/PU6widt9f/bQ3EV/6QazBOQYxB+PgHNf2TXOP9
ksCkC3/8yk9yTYKuya2MzkdHCl5EufHPP8apBIV0GHtiOI/g9TCM/ZNxCm8y/dMaCIwqwbIJ980l
BOfbn0jroJl6tQo7Xy0w6ZwYJnfBVDelBKXcxVbvYBMBF7EhmT6jeOksQa7uI4xoWIuwwOA4VEXV
J94DpVHpJGEH77qPt7kEDSl6/RJW/orQqwYAMagybtDTIdvqMTBOdEFWrIZjEQw7aafhFiGBsqH1
s4YlNLtomsHUcsKzfCKj943b5Xmuu1NMOMjdsYg9/5CyusnSBtU+AH5k0bQ49NcFoU3rEpWjFANg
dBi9NzH5gHaSFz457/NUD0VcLV1u58Viiuvehg7ZGu46t9qdTAHjbMlmnH8gLqKvS014ASnOQ2PD
hK3O4NQzi3iuO3HvR7REHRI2ywWNIYPRUwlJyNALZcdIBg+Dii5BW72vLQqJ+rvIQ+0BLLPbfqum
sM3HboC15FevdR8+TWFVQ1D9tqB3DUk8/x5NUpg8zeoCp1EfMHP52WI0opxt3aJZqbUY84KhGKPl
saM6LHQ8k4NK3CYP2nosoQXH2SrImnc4ZHJVNWnp6A1o0/TAa4L+DCfYw+5rHkKv9QuLsqOsWUiD
0qtwKkLhBJdx4Ax0+DzlPPHkaXXGB6Es9kVHuHtj1RG6JUNKF9gwMU14MBXYuuce5Bu9+GrtPjYq
RJ687WCK5u205jaI5myybC6RVfuGHr2DradrrUeeB53S8UVXKHh5GdFj89a1InaK1GvTAyNetQtV
5F1jl9lcranJqb/ggiKzuHSrzz4kc/I8amYPQZS+cHBkOWA1dp1RhFM40oCbXpKntJ+PQRdi0qww
bqA65zB63gfHgAEz7hyUtlr7/YRymIeOdEMWK7+/qj4tBhc/S+S5LhYWBPJTLM7ByIALH1p7hxIf
VaIlQz7RYfqqgN+fY+DDOeJW79LDyrsS0M8s9W4duNI6c3Ead07o5XGqzWFESv3gj1H7OERDe51E
3D9xf9EIW7EaaIx8EokutI6gZxgs+ph7DjaC7W4qp0EjnhGZFst11mmFC2K0ecdFWobMn88aVS67
BbzwSS/uF1vJfKjn52QhMg96F1wYAt4FJemCnYk4R8dJ5xcA4TMqkoaqYInu91YK/sqDUB1aMwOV
H5ITn2vQNatOEC3HclOMq6wyLJLjVs5V3dQ0SC7JtAAHjNMsbZ0ljwUkjaabRvTiJLbQPpLPTrJi
TvY4Es8o+/pXlfyPKvm3ruOmSl6+6Pf/dh3hC3+7joDuwgeIAOcSdJpufO5P2z3eag+/ERTK91DQ
76pk/MvWqIka1BDv60POGl/14zqKf/Gg80Pj9IDoRu4/K+z462WE+k68Uh3vkoMG6rt/ch2VmQ2C
lct8dcXdSEm5NHHx0yX9X5K4+J3+HOMLYcGgJBQqwnbtguf403UXzTEPTGzMVZHmxOJnx72m4b0i
B6+6m6db5f36txGNMaiy/S/fb7NP/v47br+jn3RW3yYjw2EDJ1WCrkhQl4PRUwm/wyMo1P08iuQ0
6VDeRjysUISwixoYCENlq7DUaAzEldhHLxjR/WO0rQHLthB4SiDMkNQ3IXaFflsaJLaHyeHfUmwT
PbYKsa0XscCJ3tARK8e2fATbGjJuC0m3rSYEO4ralhW8USTYUcnEvlosiOBtqYm39Qaa5Yg7ikGk
S3KJDSiZpnO6rUQxQ88EdiQoAtirqgSyA/YnsmAfieb7qmrRwOgEB9R/3E3YuPwkOvauYcic0LPA
TmYC58O4LWlT/zJhZ7PY3aZtifO02iMOvCcyOdXbmldHYkZkAqsf+r0uwsTrY/zdyxy/+5piszgj
eJ3NZnoO3/3PVRL8H6Ybrbi2lNxo19vAkhXYsNJr0Zlg+Mrd5CaCuuyQ7kbG7Gg5lOa0unVcfrus
0UfcPECZcSxmELd2o89eQVm9tY4IyzkkFyvJCS1excTlja6Q8zDLcQnYnYuqkr4aCmaXGwwYN1gQ
RKFX1HTQcD6ryf04GL8kRGA97dcPYQugueoWfstMf9dzvTcJBNOVn1xgWgjsInrCNbJAg4V+pCYc
mQRdIKqJP0BPH8F9uHTnd9IcjZk1lmgfLhgblpsWlbc7IILntntLnflK6uQBUQ0v86D5o2Rz3Hmy
O1UtuzO98zhP/a528LEI0NIJQwqm029xDS3Zi5p7n85lajo46NYrQA0UBMCpNqJGuBk33Uz28zjt
XAjAOkpAXLqFEOIRAtNdVw1DPoOmx1rGpwe71A9R5R1HMMMoPPxEeJ/bOByfpOsEOZS3b30AOrpK
9wHmr3WtMGy4JPf49O7OCN6ZqABT3eQ4wY4I7YMAClgZOXPmVfQOetuFIK2NLre9dcOyjVG2Y6uz
UuIwhlOmVo1EinMLuqPwZ+eIgwKpJqqzirkKYDKc9TR4JqPKfTwh+cBB0/Rhi6wWiOHj2GLeYNRA
H3dOXK1PSs6YXVt9y0aBejG3aJoJf60xaGEp9L+kpvnSxMlFDC3QpAZFbLMal6xSM2aTakoO34+1
f5ew8G+tuM8Qa//qwm1f89t9hxcVIkC66cQe3ie8vQ/8p/sOCw/ctu1d8TH+5+/3HaqrfNwNqFRI
wN2jwur3+w7vlodTGiWIVeKu2jazf8DZ4Jj7w+2AewgBlgiuHsKuKIdATdUfbwc82oiS+o29Sg1S
WGLaAxb5pH04cs02CK5eL57Y5LVXH8Wmj2obGB3XMwezVl7uYZqk6TZXDiS4hdPnlui0REdc3EAF
ikCYbQNpjckUdaEYJrdhlW9jK5oiZN51WNRSU4kngul23MZc1C4WE6vFtaPDkM3bMOxRCFsG3EBJ
J4zK4Bg/oNyzPbRtYPYNEpgyNEe4RhiAMWjbbeSOtuG73cZwDCAvjhvNhxQTer+N6sM2tNfb+K63
Qd7ZrCsPP4Ir85IKM6JOD4MQ4ZXOPiBPNIUeZhmnRUsDlF/12wxM408CT9/W3dFmG7BtBqQuUufz
HALx18i9pAI1pmEtT64hJY+pW/p0OqF47jyJ5Bk/zYsQlUTvjtCZiEyX9bx+CSfyxUbwrcT/s3de
y3FjaZd9InTAm1sAiXQkM2lEoxuESJHw3hwAT/8vsH5VUawqddRMX8xE9EVHdHSLBNPg4DN7ry2q
BwyjD61R5ps6jniSRcltr3e5q+WS6WolY0Azoo9axmYnmcUrIsYcf6F5MHlOuNhlcQMZaRr0khEF
cSiwFxnLEx90Ch61vq2k8ErP52d7AUwV5jWvRPsezt1Z6srxIrPt1TVK59cI+0qDzugu4XJlVHyk
fT35zSzOWaE9q1r7sIjsBapg61ZxfMjy6WSCjYfMwgJSiTjVJKHu19xeIFRT54vIwclh955a6Duz
My+qqWAsaWmhayjxUx0t1xitjmkDq1iaIJcynQUHEzLeMm3cCCdtllPtmXGHMe+tvss2ULGO7Csw
RrdKG/m50XZubBmvErbCZLB1WNRzgPy2ccPVYy2P+WFcXdfW6r9WMWIjjIMHgtISrabCcM2wk+1s
ZBu7UWy8j4t60xrG6I12y4Q1yhjP1zpu0WTeJAXz9ip1Amj4KXCzhTc56cK9NAPcjIxMYdtgW57M
N1WL6pu8LFmhJABDbadjg1PId2Ucdm6oU/phKsCrmgqMpmbhq6Gga0Noqs3h6zyru4SxBuYs467t
w69qWfYeRaQHc+4KK2y+F8wY3EIM8CpBHcKA1k9Wj1iNwq/3aOTMYGr12xHKpBf2xoWcALxxmJp6
ODUPbT4kB2XG5K3nyh5rLJ9S72AXeOwgCUsiCgTTXFxJybZvcIl4TtFStMHwiIBN2U3+HOdGYFc1
tzq3SV1bgJ+K4msdd4fJEvU+kyzbzxNFOUGC0vwQqMNNmjTRodRt+kg7vBob3BCpY27UGUhjzlDG
1Vj9sLeZrmelY0LO9PXQzNhOBlUNd3LT6xu7q/TtHIWOL0tNt6+b8hjFsoX8ZNAOnRkthyZF4qdX
jbypmpr4AqcNlmw+ULA81lKhndWUZp7TL9tLie5gT6sPkia8aII5a6b1U4MF/a0rWTnE3MbXVpq+
LunCHKR0tL51//v8/E1txvr074eYu6HA/PW9//MzdF27/v4M1UjHMKmHVoS7gSL1wzOU4AwMnwZE
SY2Z5Aezg06ImUmriJdafpe/8FD+354Rk6gs037wOPrRTv6DZyi/50NHx9ObISmOilXchiYSDvCn
J+iAgQdouDgP8iFiKDIzpdp+eFP+oomDjPHTRXgV1AlIZBz0pQxzeb0/X0SRWi1Ns64+a8JJOVh1
o8NtGWtqCTdIbpvRbypzyq6XKjHtq5Vh/9hGlppdIxmfvZgVq3pQzdrrgBg3MYjUMN+YFK9Loszu
wEx+nvNzCDI+ryTQ9gzxm+q2lxHTzLGyWRrrZkq6HQpR1PgFBOakV3xDbw6gVE+SnT3nc/ZNwjs4
1PUeD9UjsgnFW5KYDQHjKTXfW3HXuMrUvrWDxcYsESAWdQstG6NLqVDYmxhi14ysWaCRfbHsXaN1
OI7Kx8iU96Bv4WYwA2ym8jVncOeGE3uVuXgNa7mCWFfzHJUnHI9dGyDYhUBmCR8jPE5cwT6ltuTn
qSsPmi4VvqKXd6MS0T2pX9qJB6ea9A9ZMXdePIuXztQPs96WQZPWl2U8Cd9pLM03ktDwwqq9Jf2J
x4de9RuojZdFVLZe32nXuXAibxmHRynVggUB/YbHHk5DtX9LrQYTVYIRwWqqc1npR0u0+oYWkaVq
1qQ7k7QLdsPY26Z0KDdJjWhAGTkc9Xp5UGCJaHycbjVIN4aQSrdQ8ztROAgL7OxJatC/qByzjtKn
V3kvFC+WskOHjge5PRAAFvwXUf+ipVXgDKaHsEr19KnpkMKUD+GCLzdsbFTGkXJo7aH1+9HaLpbx
UicYX8XcHtlzv9jrls5Okze7YL8W6eQLNL1DwWW+6YkAn528Jg34E6VLd7EKFlGZbK/CFjOq3bOS
pvA69V5ytazc5wlIdn3sg8SGXT8w/vfoiVl1S7LjGeVwHhzpC9xLTIx5v481ZsmKHt9ii2j8yooG
mlttkyPDZC5tbZaKz8+x01sVmggibvyGzviQyQtm1dl8S1PnK0vMdy+RFmg4U5BGx9llWeSswNKE
UaQhf4ngJ5e6UR+QMZ+i3AJAWcErVabp65jmfHtEM2xswfthWctTZoZ35oiVkM33q459Ohhb+UsW
5V+6BGLDJK3q7ai/hDXx1kv2Ex5YnfIg9ixN6Rofl4iz4P80KySc2pzta8qQfCP0tgl3687DWRyl
uTMisbjYD/mWO3n2JSMlZW8wtD+bmrhrGnUnLfVr0ZX7JKshtVb1d+xW7PItLOJDbydBJvrjgGfn
Qdd7DIhh7nXmPeCNCVfInF4UFUR6Sbpph9QhMSLN0bSFBaOCUdhHyZoqn/SFyutyAw0E398IjMxU
aZcUHIVntQBisJnW3JsuuvWrrrIeY9t4TWTSgBDrNq6+KEGB4mKMQZHZ+reVjYoa7VAYw1M0MBTi
zLlpS2WT1spNpWh7oUg32EF9U4ru1cx86uDqVIp8dER0Ro54hpJ/uXR9sAwZiO75+zASLcBG0c+6
PtvgcvSyBiNo1+JFsY2grccry0LJ0EB+0JbFZ5Qj3MpBXpvaEqMh6TT37X2RONmGmcVr18eB2kwP
UvdqDHwTR9MKNB17NRYYwf7ECQWclnSYJWmD0sK6t6JxQmLRql4aoQBC/NbXCM20x6LSpVuAsZAg
SxIZ8pRzy80qvQaPayzalsqs9eyc7bKtFfdZ0wVtLx6FyO9xMDzJRatdy4OxnHngNUGbN98aVdnH
rfZ9Cu1Ts8xXTu7goinshFUsIQdJA3xOSpmisct37tCRzJdREd8mUfScqq20SvzyY7vM1qYu4EKG
DN89vY+fSpVPUcR3SVKlvqNJh2HsHgdYMre2pBVBKOHZrvn7MO7y7IFLzxkwSLnpd0O9nKQeyIyZ
asB1Z0eweKqMkru8wxPWDWx5LBJOysH2m5ypnDmOu1HpxTZUwRloRTVvRSmzYMhrZ0UdsXzO2SyI
3FF2XTbC0O9vOj32GlPZIsUbXTqWF1bzKdoQ5Q6/3mOrTLeR0Zp7Rx8eKxTWqz8svPr1Y/dnD8r7
Q5eW3V6fuLTGhvzpyW7mQw2NuRnOFXAU1j+pfWfyVxvYelP94dfX+rmKWK9FtBcLRgWhrIXubZ3i
fpjSMiSaehU10NkON2F238zMw+7/7y6x/gkfLkGCUJ6LIRfnmhtzliw3Hr/q9e3/wUXwl5IxwDCe
fe7PF+niLJvSUoiz1t411cUkXUnj/teX+PPHwlv14RKfwBsM/uxI0Sdx1u3bogmWoseHeSqtb+n8
b660DuP/8BL874fy4UrrX/LhHcvj0SjMnhdD8+EqpenF6mEA6zVuxuKw4J389Qv7eRbz2+VAJ2Gj
wnqFPvvTbgB/6bS0vSLwcj8qaE0s8y6Kj3Px+H6Z/87q1tXH3/cav0UIt+W39ntS/sXUbv3pHx3H
e1SfgqLUQV/1LnX/fWqHdt6WmaPpjOyQLchU4j80qAb/D2M0IDPW6n756HHR/oUCA/4qqlbub9ZY
/2Rqp6g/twOGzEEB8p1mgG2ZTEbapz2VA328dhQtvpJgNPjGyC1gIzzYm+PcfB1bMmXcvulbRGLc
5xZaxAVdRCiaLv0yp1m6cZjNyVclFHUfjHME+tm05PF6EnY1fxsUXVnR1hhHBgqafEwpSBuNDMLJ
h/PKMCWzlGbZM/Zso27bQ1iKb+2+X3lbPUbYUuJscFHQp3dFlY9fWPmnKgJNeb6NFRvzqor0P6gh
tC8k6XQ7xik1rtXBui+VURrcOe3H+7pwVracUS88rUrmfeiTmtIDM2eftWysnzSAF0+SUbNTofYl
u2jMQxb0SmS7OaUqxUJjE0EULgW8usQMGcqpe57IhVdo6XBJIFZxZZnleANpI96Q6KLqEKTKcYe4
zUDm0NiMWoqJQBb0k4ii2sHkjrQTw2LTk1s3EiqwBYpWkexy8MsvhUpsVxzpeN28WW6MVg3gVaes
p3VtyKq9PWr9lifWLHUsZ6TxqU9Y/2+yMRw3eqoMcblJnThczM2iom2s3VlQtzg7J7L5Z3PdRlsL
Pct11454jJyyu3ZwOAVpjlUL9oUOAQRbkqMxmTxX72alUopGeRMRulJ40buhKX43N9GLpE9Z3qko
OAf8iK65IvB5ICf5Tn6n40v2SspvMO9OYPYSXbyawo5enRW4j6c7DHJGtI2brFD+ToJNUkithf4s
6R7B/dXtad1beSbD0v+eXO9TktWB8/cn16n9Vkavf56RrD/1+4mFAB6GKb8NnOlvg5Afe4Y14psh
CUttE9DJ+8r9x4mlEZHBacQhB7IZVT0Vzo+9uvYvzTZN/sOvNd63E/9gRvJXbh/IEkBgOBQQ8Cuf
gw6p5OZEWHLIjlMBNrTkGdzC1QwjTY18LC1Wi660mmX0ND5gRX3iGb94tZW+aCOwbEwawtqZcV6M
m0aTUyxqTb2Z0iSNPO7f6j5qR8Di5OvCpCnjGRUtRhFCoWqt/aZDTn/tBzlEh1MaKxcO40pJj1OG
UxrEQ5I2rC0Annt5q49B0zKMPMxrFoVDKEX3Hk+BuBsYTLqmVkwwqiSYxtTfJFowGRjdmJALcCkz
5y2KMkljLJyvWRhEn0GhJh4jH5RTTVxGZ8iXyyKuFW25iInTCDXpArntXiFmY0pCDK0mpoJFIYOj
6lCDqdzYF7VubuVaOqdjk97UoX3s1wwPc03ziJxOuSg7WgpVEtlmNtPUbWspxe04nKa+O0kZYxER
6bI76wxyqgr7b8SYzc3NXqqhXMztW6b1t0ku3/LYKQyK8r48S022XGp6FiCeYjNvxo8VdGkLP09I
/NvlqOdQmCrIkh0jL7W2oo1aMZ5FuevMWnErmYYIanttSJtF9du22JbNmh6Sm8RhUdqERKD6qkKY
1RiJEFI4RCaEPkEP9wsGE6wBU3idzIZZc7AC1SrBqAkpk4sWjCZ5hfNQ6186h9CJGJEYimc7kJE7
uzmGTWJCWhgZVv1kgKtBUSY5CcN5Neq8bm7T7Ydb8S9mc58K99UNz3PdIPfVRIWCx+LnGhEst5Az
B6ymKsdIF4lO+wbIGxf1jFfrv+ffb9IimXf1788/D8hWi3eo6vpvfz4F15/9cQoidsWjCIfeUWik
GMZ+mBSr/wJawEn2BxjwxynI+QjEDzUOYG159Ur+cQoiPFI4NBEVoC96L+n+wSmorjjDDw3Fum0F
JUzMLJZGjE3vbOOPDYVTWOQQgDU/5WNCGCY2hUo+5JOiH0rwfAyPzYICLWKQMUkXNmQVPzXIPhCp
if9Rkl2GfHdT1B8ze7od5eliDhHy1zG3MzlZBJ4lCzmS/b0o5iur0PZGwrYwDyGd2N0J3syBdBHT
m4pmnywIZAo6fBECUA0tZ9q2mvamoUdAKLCa65Ns9gjVUjdtJqG9s/VgSFPb03O6X6eLn2aTTV+X
6/MGblbhy219p5vD4OqDxDgki8hfWGRvxqino0z02jJ8oL1Hf8cx3XYdE1XxTOHhpmFT+IZivTSp
lTB3SR5NMuuoR+EIM0UcGrBuJDM+mpG+ta168UKhBbGNf1Prip1qjgbhM/aumzCHzPrYEmg4Pc9V
+Fz0EzKuuOGY7p8S2UlwzmRb2lMCZKIyUCbRkrvM6smO6u+RrIMpU8rHmtUtMy0YZtBrXs1VPNxl
87ekNsIjfDOiYQ2UU2DaNtIqOlZhGfo6waJewhbfRZ/qbIXIjorRjE82CF9sEQR9k1ExstOzko0e
WlWQzxqToVV6SOyQzAYdOeKwChPnVaKYrWJFe5UthquAsV+ljG2XxWAECT+d5STclHKXHBO5yrd4
N3sCD8blHu9j7FcygYFAlEmqMQuLSXSWPVXtqCI1s8zHsSuKm65VmnMMxnpvK+10gVsLFdGcV+wH
mhYunq6nF6Eo6zXPEv1Qu+CNQD8UPk82i0ifXNlmX6ryNUpPZROz1PsiwwwatyGO/K9S6kRvup0P
m2IFSIieJSkLZY/8Cxy5KNAwQgCc6NrkqECggJLLuy7YNEcXHYQKeUVVSM1w1a7winDFWNCXYOVc
0RaYmTADQ7vQe7AXDZKm1FpBGBAxCEJFQr1CMsoVl2Gu4IxFzxRGiIxj4eoQofJO2EBKZv2G3DCz
y2rFcIBLHO8d4lT3ZpUjMVpxHZINuKOD4DGtKA/SNgnBAe7x32L2vZjVmGv8/WG+tuEBBe1L0r38
VRfOD/9+mmP3xAgKiQYcu/LeT/+oaVVtlX2iV1krVI5TjuwfpzmMGqLbOOb/+KkfNS3kCpjyGDj/
Q1pRnOu08sb6S1kl/vzgN4jHsNOwXU5L/9DYpNP/aHf+Vrv5p3kQv1WGi2ESnEyT/26d+DB+Qtps
1qScKqduktxWJv00cTvjO8PUDx/AX5Qw62zxpzHXp+usJc6H61QSwURtYignAzmd0l4I6/uvL/A+
9fvVFT4N0iKlKdWVBH9SJwsa9hfLeas42hzp5AzEb6qEr4xPNaKi5NxXIR6AVyYEUXRWq+u+vI1E
zTjjaBrRBrYmZqbrIb0VjKMn1Dm//kvXXfIv3wu+WB/fCy2BnSPa9b3QNswOAKo9DOQeVYp+Eqsp
FC9nMr9ZgGMb/qttJt6v/4D3ZIHPb5VCzcFmmmcOJeXPfwC4cKUfZWs+sUJNUFg5bX6R6arWw55f
VaWsf+HswOk5tDwmjUHcKLkwad8r8JgrlQfoeYyZbZDHoI/kg0Dn327z4lEttIMIZbw0qpQqXyat
SLda5qS2G9rQwdN005rtvh4Q5I8kzfazP/YwK5cTz+RNEelu1UjuYBIVOjnnQj0DoA3C4bFDJBl1
d11kX2p9TqqM6Y8Uvqpgb2kYnrXkDHRqos/uqrppfBNE7tLwlJ4Vb1CGC0smRbTezc1jl2JTkcB6
ivKo9Po1FLh0KrZjqVZfCiN3a052WOJ3vb4KQA0oD6xNjSTSffDmcOVtULhVlj/R1rhFQQvgGCGR
a8hvf/0Jaesn8Mcn9C6Z+3jj659uF5FQ7fdTt5zkrbYL98tF/6Bt7X176lzlot/Bc9jYvuPNgeYd
2gPsN396kvb4cLfy1rxMgvS3JNG/PSb+NA//dPt+0gboxClaxfqVrbJ9hTFc+KigmqCRf+s+/vY6
61f/j9fNePrTdT4deHZSLHkccx2W0Pnd9L2JvGTwSD5guPbrt3gVe/zpUh9vgs/zTf5xqzmJeoqR
5WJV9ocJ77dL7izy1uiEoO3XF/yrE5B+gaHqquSAjfLzTVeYxWRZJDWdBNE5kH5H6fzrC6y/4PN7
9/ECn947zGSMFiNVPZFFNhiZKySkGNm/eRX/7iKfTllncvB2AnI8OeNxaQ69eUdF9uvX8VePpI+v
49PxOPOsppk31BOQdTi0wpVN3PJXTjz99lr+00uKy7+Lx10v9HuK7v9TybermPcX5VGF5e8vutz1
pz7URSwRMJCQvMRkbt0zfKiLDAZt2DqpF3B98hX5URfZ/2KTqbPQtJQVXfGzpli2NLTElDMExMnm
P2L36e+zvE9fdsj8ukrpgkzZUj8dSCAD8jqTU/mkakYbB4YNtQAF8vDSptBOdRJg5SLMdjxpWakr
zn3YE4oRthgjMYI890V+axXCgYKg+kPfk+JXJ8+DJO+7sbnIJCZ+rQGOisU3KaAoSTJN+YriBrwo
C9Rj0TR70jsgrScnrZf2Rexc0sG5SktrgTwecsBMu2V19q5MMCQLUjg0PG7CBLQvLeeM5FYPfdIN
j9wnJ7EkmtnyGu6W4lbEl0kxsIQQ6rSL+zSIQvOI2ilP5q8iWtfCRkp/lcpui8KGYdqxIHF+k+Lr
m6sK4F6tn2KYBUhzQAxhuRnL4Wh34ffaIfuPm1WdzewaeQ4imzK8FKzp3UhFWNwaG7wUyrd2rlZz
qO0vXXufqPL3yCJWjSFn42FM/zJZ0vdhpfJU2BazzL6c8wjKGa8hlLPLZKm/dWnVBWOYJRsx9wS3
qY2xLY2QgGwa5dZm+lCHJ2xQX9l7wh2wyHmxm22vo6FxkGu7I6gjG5JrExKNpAIJWQNoB6HQ6S/O
fWo6wSAMFqTxVu7t0evs9LossFCM5USk5HIhsIhuRFg/JrGhER0KWaNxsvummy0o8v2jsYgjRl2i
AbrirbLbS3KYoos4izhi9Ngve6joHXxWpVd3XQhQsGuiOzVvmQdjYbet3jkIcyCE1Iy/l5F1G4Xz
lvzbiZCP4jCveR4Yf14nAj4Wgj7MtH/gf4MhidtdH23EyGsqSJz25/I9J2Qq7lApr+khjlX4Jn2G
H6/JIhYRI4XS7GhAt+bYxB41VhTwDy+VodnUFZJuOSOpZCSyBCb4NiXCRJ8V+AysW2rbOGKggclY
VezfCD4Z1gQUKLaBvmaiLGyE5thClr3mpWQEp6ABIkFlzVJRCVVRCVfJDJ2sQvwxGdZHPROHdM1h
idv5qoWmhBXm2C8GjCQ7seaXIarah7js1/0Una5rVqV1o9YoJ0HjtYV0LddOc8OsGsSVMiVBr8lB
JsUmM4nwLYum19BwZC8GilzKjXWwyum+M9vnPiO/qK6qaytytlKcXStQAWwSgD3cBn49sSjTrBE3
scw4w+ivFEKQeXH1prEspjdTuqv6Sd/EoS6walqLlzKfYOZU+H01BZo5f4Om6zfIsOzQ3sjO/IUP
mvScFIViIl3AltzGmbQvYZ6YyK2jNPcdKdyR20mubxmhf2aJpi8Hre4flKb1YwPknYp6cSxsptdJ
egF1CqxDRu7xZG0FfquiLvhA7numxPM0AIUW3lgMe5oCxgskE88kCceJ81ggxmSIEV+MrGH9pUmc
YCrMwV0yuAyNfKX1zkuHL0nuZ2+erBXB7PhaPV9iVN4LgGKo+OT2qArBZ2sgR6L16dqXoR1P6WT7
XarfyUmE7GhuL5bMIsHHKDd6xl0o2zFeLMUJcK/eGkP42pj4Apyx2PdsCr3OGncYJiaGKCxGteIc
ynBSYhKL0sSwXRhlXqwPl8Iqj6CvERNCb9cj+wkvhYt5ajcA+G/Jo3Cs4ZyY44Os1vsQeATrYmtD
yCrn31TiEzGrG21wei9Z2pMuoxKN0t06GYTTfRWaC9KPFa/cX4fqcECdCkIaB9TkzP6yqIFpthtN
UvYVKw6/q8qFU1gLHKM/yuUS2KWOCm6WaL3k5zzsVLdXh69aAm5YqIa2V6zorOCRr6PoWlnsC8ee
ma0tUoLQXxxkEo7xjMNCrqN0U0iJQ6yyQe5FPJ1xTwRZPp9Vx37T1CUoC5K7zX7TEb0VQPsiLBci
3NzX596yv0zJEHuFYQwMTA2Ec6maP2ZaOPtRPb6l3XCMJ/k+H0poPtVF7OAxQ293A9bFVzGSGdGM
J0+pr8gqRku6fMkUdXGNMbvnBN50pXHdSgxmI9l5ksz2YWqmIx1t7XZDYTE6tb1eiY8qY9R4Wr0o
0ZEIKY5xfd6HjQNZXAmbeTVRdNn9mLP68RWpVALymYVnT/Yml5O9arDWrUXBiK2Kv+ujNvjzWE0+
A8BvzrKclJaIUsqFyI9UoiegSLmh1rxZ/YjKv88uMZpzXGLIRA+ZPFSpeq4K9QbPHCb6Sgfr2L0Y
qA/wQsJfmU+dCRdO5fxqLRIySqP8Ms3SfT1VRAugwRWl5qP7VXCgihNkysXTFxuTHp6AfEiH67Yn
NtrIrXSnlzKebuhP2MkVWBD/JrtS/bmGXfs3MKP4exnpow3HffJzsY8uQNFndtkn5bZwHwG8nxsP
TI3nfLu76S6rQ7KpvH6XXBhb4cc74o4JVtuBJN++13X/6Qr3/79sSJmm4O8L3IDcjL+S36w/9aPA
ZWOtmczpKCA1i0KW2vf3Alf+F0Y6S/1Duv97gQvUknqY1c/7vvp9Jvhj8GfArTZR1eG5RmiHruef
yG+slWP7oZvjG7Tugxz25gBmHTIYKMA/DomyAhLh1IfWVTh1h6hvxvKyF9RuHpyBumavnAzL1hZd
5xVxEU33FRaS2a8cIu2OpJ09TVp3W8TN7McdmcSiH7YMwP1sYYGpyKXK1Jo9aeWkz8iTE/xeRrJB
NkIu72JcEX7VU+xJTxUJB0Q9PYiBuuO6J2vplhgejG5QRYh09HKp43hJpKsMPAoG3rEhVkiKnua6
j89hGCfmOc5n60xMXAeWXoSLhhIk7yvfCAu5vDMtSQtCygmx6SYl7BF1kN54P+hFN27yTDxkqhMT
bJVVOzAo6bzjiXYpUv0gBuOGKMKZrJLyXl7yu0EnraWK6xeVGYJrxgO7GSDd3PEbdnnPcZmSlSfp
V+agPpjTdD8g1vU0QRziKPlSoTPySwB363Wt+JweRASVlr7Kwh/UULO9wsy+qpFxm9nilKa14c9S
8p0R8V0x6K+yzrHSFbwpht1fW9pqXIL1shP8fleN6uzrrEUomkSykxdH+E1DIVzk9h3AWjWoygxq
Hm0EFlp1FyMzKsex9QuRIMpHjmoANSJQB2hSJ2flRgXJsUHnRMmhro8+Uva0mJ2Eru7IogAQZWeC
R9uk7udRWVlc8ne5cnx7oO5BdRTiFey2Rel8i+LqaDrWsdMcOJQ2qT348G6tkPAaJ+6CKZS+G84S
5PK0r8P6KmrJNyK3y6/bhfjFct2whPVbXxG6aCZELAxS8SJiBwfaXD7yle5d1RnRU+ikafH1utYV
VvW9XV31Rioh3g7PudNfG7Cm3ChWbsJaklaqFIiYqTU8krg6j+8bFVX1OCAyhiTQH3o+wb4bAsaP
yRZcz+KaclNtsGHvi5EgjsZ4ULr+iiiQO56YmYfr+b6I4hvq+sSv5WGrRKa0T81ec8e4vZmt8I7g
oeulQfEtFLZhs0JIo5MQoq204XkIl92chxJbQumlbaTYl3UCMmYjlNFPOBQLAxvByOi2KPMAFujz
cqhq65TSQgXkCwqvHkrNK5A7YF4VFzj2voNZP2AbzBmgJZd4wBhTytYRMLmylZ2cQSbcOYUbwMcE
/q2VaxHMTn9yWv1xlGLZ41YfgdgU6EQH7Q1/IOV5XVESYI4brN2yDmYta1pcvUQ61mfjF1Us5U7S
+XaGEY7SLk9e81ldtoNlPRrCuFUVPuGxQiCdt+reZv3io+RBOcL82dThf8mFrgeiSU9JZKKdz26K
fLwi0kJyRczTW6QZRkWHYIuyCcwctIGoheY37TS7TWneCYVWU27lt1DVv8pa/oLqcN8ITXYToD7U
peqr3kn3791KURT3hejVjepAxJ97ZZuYxVM160dDqmbKO3uOQeJb+mRea6ldW36CgMOb4+YZN71f
qQYdpkRbMxjNpSlN/WbJqi2by+dWU58aGJ47R16zWB3rvAxjCTQ2tn29JXgMA3PpAuB/CecQOrXV
39LNYKqp5Xw3y7TEg5WlnLXa15qARqAVyC9iOyMpKmQYirqNmPC69MpEvhqHutpkhvY6LiC/S8O8
TFN19OHMWXTMJcp/SaeeHhrHLYDyuOSLvUgjd7LS6dpODoVxlUwEaYxdM/m2pMa+pjY3ojS7w0z7
uVEWojsTvJ4aJow+Qh+fAKskpyOusYSI/VyEX4uSBPMC8MNGtUgzm8jJBZ+RvphWaUGLS5eNUYZB
pGvzzizbZl/VepDFauLHlpkHts1agvNw2ZZp87XF7FDix0BFs62GMr4GO2eSHANDYe6YkzpYmANK
fXokYw6vTYikAZy+fRNpFyzco6AvUnvbMTHxiYKTGW3M8yEehu9ZI6ONwpZ0oM3HzVwvbHKnqNzF
JdyIRRR8NmKWmO4Q0ibBBmdSUXAi9iOQo7B1Ge8u7LjHY5Q7h9BZjlKykGCCOjAIs+W6LVaSs4XX
wDIv0Go2LrSH2B3G+VwP8V2pLjMPRCUPag1w4hBLLd1k/2I2yCEKIi22kw3ed1bQK9gqkQdKHp/7
RD2X4SL7GWKlbV0vR60PL8Jc87NmOY/s0Dda2sirwRZ/kNVeoc98scviOe9CdsyWQ9lpSoaf44ut
NHvesFVmEoP/xZVlca8M2bcqk855m9xmEfnAmPbMTdoqptvq9Wu+WG8Rsw7aZ73z20TnV5Js54tc
fqoTmCfjkFyFzlAFWP5HXzRt6FVhdiztQt6lUxrdNzEBrSJ8MlUi2VRuXSsv3tqifzI0yTXi/qoe
+SrrRNSGhupsFIfQNqfI7xHEJy45tiObHel6kQHH4qe4VNAsEPaYHXP0Fp7OM9WQRg4wRXmd7I7k
r/DCBkS2JXH3QMoeoKlMYoJVPhRzezWV6hpfVEBlTnVktO2h6ZSjAc1Dqu03MaHTNVnxlI20C7v0
1ZbGoBuqftvR7HY1/6+opHtmgBdLdCyYUbWDtSfsdeVSPMcdh++InCVtrT1hjuu3xgZaaraHpRNB
bmV8PLRublp3x2nh+5xgHAlUVX/VYMS6TDJvEf7xjznAR1zcSZsrri6zAVO47bZUbl+pwPbJROQH
lY6r9eZhMZDBDnABzIaNlyMeFI1fTnuCBCY9ZsKMt1rRv5An/BBZYQnKtrmSLRpoihi6EAxzUPaN
WEFlYmtXU5Z8aQUEjrqTca/UzblOnAuSP2jzzeZmIBkAVCaYrUUvtiTCLf6oAs//H/bOZDluI+yy
r9Lx7+HAlBgWvWjUXKyBo0Rxg6AkEvOUmPH0fUBLMknLUnjRi46wF15YosGqQiUy73fvPVpP6w6n
Ow8jRrAGY1kwbZht1XK8ybpq7qnJu1XIvtNz0giLCW2UuSl3thHu+zF+DjWB6Ng75xG8dzFtajdZ
6s5GjvlSQ2BTktswnY2UppktaIbf0AmCBmKzkTGmz4bTr60++MzQ8mDqrWTLoYZ8WNUj2iSnc72P
BQ/iTl7w9bkNZuwWneAftJIeGAubTM1ciyx7utUxLHZNsvQdo7zKLUmjKAMOq19FDDSVj2FXFCpk
o7yW+wR3B9WgUd853RozuDJejXw6uSoiZWn6tNAEk91HS8dN9kWv8lsk5LpURW4mtDJPFspaoV5z
mSdKv47MYmlmSbv0u+IeuyW4AqervG4MtBUdFneGzG960xrWtQG9MJYfzQhcCzRqXmnUIDC4u9A2
H8G1XA4RsgsaW7III3RQ9l31IklMzEI9LSrKSOVAFpJjg6hEcwuPND6/+bNjb95SWRa44aGSmonf
0FwOjX3qmohRtn2YjV8e2uGjhtZRu+ZBm0Z2N0X5mWfLiMxFE3PuEBWMzD2O1Ce0vnwzxfjlRzpZ
zK69rKwJ9kw4bQaOEhQAhT3ztfyr7DPK5ULUaBVaWUV5glml13rSrfKGTKbIin7Luntwe2Njj2Sx
cnicW1JyHs83LogQv6Byvab2rGN7Q0ASbumm1NntulrykFQwycNzUs4eVyTmAfOYZFTsOt2JVojK
y0u68kX8FfYrrevaiL8xOhWBehIuvb95dzL1s9VknjJRCiiVYN+pxcekD3ZNGH1q7OaudAvqgmiV
cORmsOybATsm+97TWOkPUQlHplZYGbNgR1Jt2sVt+sAveBdGirW02QuuwqbE8pQpD2ZWdB+zqQNf
VsUXQ5gUy5pWVyxGE8LzqC/wGt+XHZ1zcXJFg8hjUjpy0dXU1I/up1QUh8gIP2Z9GP2/GVn9/3eg
n0vK/vlAf9M8UmyRPrY1B/gcTMC4+/q//+dPX+f8k98P9bo6O8oxs4gXNsybqRVZff6I6dSfaRvO
239NrVSbzDvGcRvKoGA09cOhTvPbnKVxkcE5C+kAmP+FNxOL6PtDPb3ulMuDp0EgYNTNr/76UK+Q
ekwkdMFzyxBmOhJ6EfEJCtbMWmEmdYlY3DWLLBUnwXJP0TfPCs7GEogc9TiFl2nZodLlp3Qs9mmd
X0dg55qZP2fE/hGP6ZFnTbLIQdQFBrstdiOHUO0/TsSI3QjEZtHpPBcTq+DcNa21jJBsiHmiJbAM
NwZ7dNrEx6blKGo5FB8aXa59xskBYbUP0nUfMJpha8xuaU9+tgk2EK44g6m0iFKQxhbOYjuvojxT
jrOzIzvbVLa7t1JIcbcGeXm8LVkf4992g9A8yDiqP8W9Dxu0MzIdCCKUQk4x8YVd51YMVVrU/cqW
NAaAjpfxFnW8m1aVhMWxynBMBdSED59byB5eT9LcpqRnQa8qHAdXbsrIeix9WB52X4HdddJ+TZXk
MfLVaqHXDaHnMFpVEye50MXz4XNQUv0Pipx2ja1cd6Ry867fmTz1OqU5DL1g4m1RV1paC5nq12Md
PZZKcYEvQvGKpj22NlK3rZRbZx6rkEC47lplh597RVXaCf/nM2U2hFj6rRY1DJCybeBXB/Bdp0wf
Thg4P6tjfe2GPPpi6y5xO06+9tbXgrMVdkwC0/ImLSeAFdEyBVjfi/paNs7SGHrOs+bHzLY8KqIe
Xafep3HfLpwMX23sPudasTJT62T07aovHDrnpoVW1Ec/qi9dXKus04yanGWpaKvcDk9TkZ2dkceI
mE45nYH1oFPBUxzZW3iAt098losy7tduGJ5ivzghH1xMcHaZou4ZTW5KS33QRbx2ouZYGs3noHDi
1fzRBzbJYYnHPtM2jjUctHm5bF311HLAGav4JC39iuKfRTMpdyI0dik+Ty9t4QMl2a6mK8eJHELS
1ZNL8W2Xpx+ZS94VanjdhMraL8XBMJ01gshJjal3sUbt0JvD545fgn2VtoRsffC7ac/GZyHD5hDY
aNkRkvgQ7oqaMlRnlE/S1q87d7iWI61AftCJK1tIDqF9eLJ8E6qInp1lSjaEoQYnbRoX5ug15xlP
DNVZpVW+17ilWtfcpR2F89VcPV/SQT/SRa/SSW9mBiOh4GqYy+qHkhx/mtpLgx57GIfcfhTbl6W/
YTw7rhXDf5hkeuznEnwna2+BpjDUMBhjzkX5+lyZr72U5881+kpINypbXiSiUDvS+XNtzqX7HAGJ
qw984l3sXsY089eIC+Vc1Q9hSSHyZsdrpj3Hhj5/Wu8XglmXygB0xd3Bp6XrDUdVKAA0Ey5yuACg
OCU1FjWte9HZ9JODAUFAgySQWdWpnNECfZV9KQmJr/VJoYYO/EA8gwiixroSqbMrZkSBnGEF+Ywt
8GeAgRK3i0IlHaOHeKNpTThkEU7ZhHlEphf3jQ0IYZyRCEo2nVoYCWyOv1ozNEFx6Lgvc+ENc1Fy
HnfXnD8/NKRrKKbaOkqbYoXOywWVREdgICPWQFaAbEY1uDO0QZ/xDX1UVmuS94diRjtQWnJOkuqu
s3Cyg3S5DSzB/U4kJIcLQWvG2Z9BEeGMjDBkfMdkLKfCfabozGCJaUZMhIIh0X9iPmoSni+sWf/8
7P8/aRnlT39/7s8/9f25r7l/wOA1LItRi4OVEzfIKzGfx7rgH+rx3vJcaMDDx4JZl5rxb4Dj72I+
wwGSbOwKmNG4JtG2f/Pc114Kxv9yqyDm44ii986wqNXBTDPvMF4/9wNp93FsOOlZ0apPQUSMdWrT
z9oodqmG4yFmUlXLdmULZvodlnr8CO5YnXqH8Jffk6XI4JN4baAw+Gr1dSDUNYfUmz6ChOrYRbvo
gvGgNv7SUubSDa35AGy3XKRaeggF1RqdIrdpUj/CSQg8srdf6TulW0MhtxqI4WJwuq9AmqqFg7C8
JDi+ssZOeNrI2FSlj2GJHWvgEIgpwiZ/taDu2cJZkI/rvGDUOQqx1IP0oh0E39KguTdmlkudj18L
1doTVSmZsMP4CLo6oZUVQ0c4Mb2z3Ut6SD52PniZ2EFnCENqLlMbBTy24mgxBSUo4yzwoSgzYG3W
o41vt6qQ6fUeknIYHBtmzIjTFyGvyStGWtcyXb/uo4R6lCBbJbl+9DX91qfDEmply2DApXyzqbuG
2gnF8Uz0tswYqXh3yo+OoMnCUkf8E1RrV1Fw0+hx+aBW/YdxMmmbngMuBvpmqvWpF1fyYQi6XZQn
m6xE7DFbQUNETylaa/i6F/rOMQz0D0bFEaeNqDCyTGuVJO201AU0lgncrRcAEN4oRXttKOFXQYpm
0zOORQRKLgrrsRkeS04+Zmk91qNRbFqpbtK2DlaSiWvxgZBjfpOq+KCeomD6ynPsejJgjNnIjzwi
ZOg4j1KLTz73905tcnVL/QNIIem7ZzMDoDzSqG26cDh729o2cow9NURpCE13PBnxxDM7KjJox8L+
2OP4tCP6UYyheKqmTt+ihLiIrZYTfqso+G9oSW/0L9a5w2NdP/2Mi8lPvVrnZmKehY1UZx2ZIwk/
1jntD2P+z9/zCn+db2gpA6YwDztVwmm0+OB0/b7OuZReg9NViflTMkYFyb9b5/429hYYN00xW8pN
sgTuu/NN19LMXBZWfx57o7ZXYeeTFUX0xNAwRiECyuwZSgKD0usOm4LWaiBoNZW94q6cCFAOnTUl
h5q2l2kVE+KcVklf5sTAmexb4stAtXWGHiL9adUEMkIkGSRl8VrgPrtqpjU3Y11Tz4WrgKJefyTb
zma56C2gsIoPerKyAn1id570KH8Thnvi9m0waKtMD+S0wtaYaVjV4Sw0baJtWpVc0UZ2gSnuUg23
0pqzzw58JwtTzmBrWyrduB2MsY2fe8MZ1kHsoD4EQUxZwgw53IbI2XvFd9LPkQ8myA16TQGQPXYr
JZUA8jKSZ24I/FrNOGZ1QorPnahDeoEzanzUUQk9UZFKE2P4bPUKMJ3ceaZk0/SajAXOLvkzorhg
rjsc+AOulIswQNF0NOyOQZTpXtpU7KKlkn/mEJx4utYkDBd1FDypIo+2gn5qctPq1pEmezRSWY+a
kzJYm4pgX0olvaSMOfQIELobp8yfEnsSGyM1AmpDO3NTF020UjmveQk+wZUp2vQyUanWqtgCZ2XH
Cl5V/cqhU9oLHOMpRILZColrBHqXwdPAZGRcBDYmX+Vzyf5za01pSySBo0pICNrufR8JKWKqBTWL
fk9J2jmlB3JTFFm9d4UaL3UljCH9MLIICqugv7/DNB6jwdvC9ITdj1eu6+O0cItsVbehoP00Q6aX
JqnlFiNcPkl+Tce4T3N8WkEVgzuTpJn9nskJaKjRa0o0wJZyINBMVnVFm5fmDUHPsDeSnTeNWoUK
O9K0Rec5qC/VHVbkvxm2ESVbDZrdIsbW1cof8mSrYTBbgFf9Fiv5b9k02M398/bwz8oVygB/FvTi
J78vnUhDs50CNUenIOBlEXy1dFqmydbR/sEj/S4NWX+Qz9O/GTpeCObfV04LDPFcaCwsgr0v9S3/
RhmysZu8t3sIFrrZPm1ouphLJl/vEOuWTVSXOMqJPSDSR7Hr+Cp6eWrhDdCaYp3Y41ZhPLiIw+xq
hgcuoA6XHLUwZ4z4KdK42U2SyQEp93ihWojpej/6eA2cniFp/bnP8IjEw0OpVsexNXaE450DwFG5
MrlR/dK4C1BNEJggZjTp9YDPAAiW8YUk/KKzrXrhG+qVqyoIt44vmNjIj+pgPw+zFh735U2GOD4v
n0xcJ74rij0Rz6zuzbZsl5EGf21W1+OgZC+I4J5XSUtoHqjZrMWbPrsyXGn78EWoF7NmP/XYBJZ0
MD6UL5J+/CLvswzNWj8pbiglVayWTOU0M1i6rMj0DrjrkkIRBqcjc0+1tRfVaKw6gZsMT/dlG4+c
ZfN0kRUY/Vo1/trY9pNPJSb96A7ogOZElYxO05znj7276F3K/NHpb+xBSzwt0x/itEYbc6W+GgcN
63HRXVh+Xe8rNf9c6WEsl8DEC3Ul8F7QeZKZKBovIMXQFkvS+rdqyOjWJv9EMkOdET73uVlQEQeU
sZyG4sCMY1wotosUA4c0KHc5JMdaw7GByT2F8DgI/x5yJKJDAv2xAFeGnVLdsWUkMczrXhkzLNIn
Z+qpMweL3+cjgeto30UUKJS8fZ6j0WRHwjk7+456mzppt86gA1CHYF+YWdQkXtNX0YekVvQUkgKY
jZXWO8dJH68gfiWs1NiE4rQAs1CqN0E3XvmVpMpeGucqcNfKoG+ZHVyJ2N756bRJunYbqlNN1Cu4
bZzsTH3iRh90AIkqxYzMWuu+xA9Nw7aZxR+FXdzaRUjC2fmQKRwNXFlvYbbdUox9kH10I7P2nmrQ
Lf2PiP1pWC4wflLGEBmMM3qxVjVmUYM9Hqy8UC/4yHnUtPFTTJtnJ/ndlDEQK+iNYmvpvjdM9saY
xIMusxW1db7XtOlxCvzrTFTlbhQNHGDFvIna/nOu1KusvpWtpi3cyr0Kwhhpp2NsMe2lpX1Q3Ril
o4g3dSS30RjTF2oYx6hOHrI2iGgztNZlgwfdqMplWAbRQlM496F4Pbo+Ip2a9cvJmk5MqM6h6nzU
9f6iqBWMWvPRS3w2StVaqn58MwXhudfMj5XsOd1pH9JK1Vaqjrs7x6EQJcrJV91NjFbXMltD3sw/
dz5GAKNndBOMvWd06UWa8tdINWMMa7xeZjsnaA9dk1/wNyc4o4axp3C2AQvYp/oayXKka0fJs+tQ
pQbGU6zgUxyhbQpKNaRQnyel3iZR96l2+3XvYi53+BUM56Fx8iMeKWVRUPRuaAi0jbGVQXk/2lh9
9BlLxTjt4OjttaNV8OeGHnenNO6jVu76WmIx65gwOyZ+j2Bn28aVnhOzH6fuKDosuIPIN34unZ0r
S3ZbtL06yUf4dgeqwe/svFQhI6oohOZSL9NjmFcX7E6oYjVv2D7aiNbdFzPjq4avjMM0gDCs2MGI
uTSOum2qVxeVq19zk+yLlorGUDbn2lfXnU1MvG27eyLnyyk003VXq5dF2l8AmLhQDHVGhSiox+ZW
lUzrMVhkU7/tKRJw2eAOIFqbdLrCBUt7SVYdDUMyJ+aWddAhszq989X8Ab/Y2azErpHmU21SHVpY
O/q4PnR1dCOc+halIfWE5a87Ee7szgH3Ue60DEfQRKEr0+zD2OSUPjB3rbX+GDKlj6b8YUiNG5eq
eU+nwUuju5pGCHVjQo7Ny/LMkO8isp3n/6SrF+lKkPL7573JB2ZV7c9YxPOPfd+YYETlPKezlVA1
Auivz3SzrEXVG2ZTjlJ/goy+b0xM3KYamhKHLHMOVL060xl/YD/VLb4LM7Ro/qN/sTN5m/ebbaiI
ZxqKlj77UHkUvt2XDCoFX1Lm7Wkak8Xc3RDUwouczHv1vnDjj0GR/y84BZdFlDf1PLr7+waIEZxD
fQoHVTZc7xOvWtp0lRWb5UlthXuXhJViweZLx2mLdicIdzV5a+7q2p9u+HpzZrFYAmPHDj6VRUxQ
ORjdC83OSoqYpRguw9G4NsaiK5bWGNj1Ba6W2njohspyLnu/6rp1rJGMofgzItmhpKQyU8BIEdZa
fVX0adstHCXANkLffn5PUQnIMTJmKrLWF5Ga/ck2y/RstmqZLrQSx/+68AcDBBztFmnNjsqO+sI4
q3gwk0OXxmfZJLSh4AtYhO4l7pwnUZdf8ypY+7V6a+MWzZmqC8UqNrrKq1DKCN+8v3azlRiynT+O
1dJIGPfhrF/SfvscOsg9pXnS9PK5NbobuICknEEZf7ITkKRukLRHnHASAq6w9mnkkgLJqMObdNKn
imI8m3Gdb00/pKOvoecq63za1rAlrXQe9oRLTnWOcj/pTrcMoknfNLl9N2rKfco8f1nEIc/cpgl0
G7mLiraAyqYVab1o5Zjz/wI6qZZY8o5SZrwnlpOH13XQKavW1uTKHVRo6iTaeBd1+BR1Qiu0qciR
KprpugLpvg8VTftN1ar+NoH7ci/DmYQsSTBxziK+S/xWo6yCgF3Dief4Y4997Ga6ofjFq7Di54za
PAoJV9nGXslV7om9uTZWzBYWv43QzirIX2owhY+GDZASIUfMeWfsGm+/U/R79W1Qh8XJ14M9h+th
kQSV75W9qXuOnbirqvNnHJOFK40t2jGwpb/X+IyspMoWo00/rw/dDk/aQzNQWlLrwLCbplz7zvRg
C3bnsY9wwGDlI2ND29NlBaOuZuoy9CiTWkgKXoTDajQoktHIR9IJVpnUS0zC3U6GxqRF35j4bDz6
HecKPrJ1WY5/zFwWhokTVy1XPW0quo9wkeSwYmGhoNTG8LpBXPYDwJQqmNNLRnAX9MVWM7JjOzgq
w5pyoybcaLZbUfajxje/XkbeLiK8s2RCLQQt1kvaMek3ffvOupPeuyVGspPa0TzAQkDzulTzhYL4
hF/RhOcZEIz9saL/ZOV6SZq++TTfXfPdp6kMnS27JKhP2B1pA5N0gwUF4Ul7a2YtbCTGgYHFUc0G
EyVSZp7CzMfDJAF3Ooo4FJFzr0YU1zMufPYTc02DwVEvrCvVn76IoHrACF4tKyo0/8yo/KcXzE2m
Pz7B5WPz+M0ycnrMnv73/xyf8q/Fl5+2s84/+P2prOt/EHbF6AxN9tvz9YdcYEK7pTSGBzMPREz+
P5wkL9AHKAquixqpGybc2h9KK7RbYLYqcWWO9//qiWy9Wz9YNISh26Yzswq5+TRUjtdagZ02gYNg
qZw1hWNsQ4OHak5Pfh8SIBSkOlqylUKL1/IlbalGpbx25wimbncKcUx7jmYGLylN5qHGsq01+dF/
SXEKhZoOK/RnmvdobuKKgG6tOxPEdeqva/YiGwy8cz1hjzu2iYZVVyruWmr6fU4c+0tQpVDF9KFc
F6GdLntMAV4XdECOCv6uYVemRwmqfChnDjYjI0LG9B/v+9zexzE9Vj3yqghRLetW2bQ6IY5BV72u
IpKZujTfp3qHlDge2W7gnbbFKnTN7uTkKtkqGQcrl7wpTkWGzYx8ATMkA4ewOYg50sHuoP16ui/L
1WT0SxoC60segUyhxyb91DlivNG0j5HJeAkc8Al8TLi0XPcKHguYHF2jOCvGocimnGnxlxpCu+Vw
ejEbzP1OJ3CqOMO0aXAa7nNY4Z4womGXjLW6qtFRkFt9/JrOoBa8Z45O+VmpsL1HwxaB65FWMBYN
hr2K9nsvIUJ3NTmxvcGBkVwNnXouyjDcuokSQOHGTOsl0xStFYV6ScrOcwgCccxCK31YBZNuzyX8
g0nI07GJZ8QhugrCR+nfkPUpNx0JFnBRrp3vctl1m6wuor1vKc6RGlZcQpBWj1Ss1BzdtKr1ryiO
/ZSGtPSHufUYMAv0+jrVV8BKPiXU4q78pnxWiW4vGiU4pH4IkyIez6maFPgEsudwEsuK+d15zMyR
PR1eBVM65P9ytnFKZ+1kR+IXKr226OLxJowpwtazbGOG/MuVzkIbRMusbux114taZl9ijmvSlCO7
XjePnSiV/WjY2FrQpS/FC7ZEMsdTa4+JJG6fJEAWS5uDrFx12XKjQaEFqiArQeOPWRRLpSg2hex1
5pBTuzHC9CHtbFKHg0aJOfmrfkB0om1TWwvTd0g7ZWslc7/qSn2w4uyqaNs7SJDHurT11tOV8kQ8
aNzxAI+RpKetIhgYZo1Ib9XY91eO89Qow0WU2heRaR/GEJ4tXpZNNYzAlqc1rxkLTn4QMI6mTrkQ
WnTIQtzLUSv8Y+6U9TKzSmPdhsFNOA4BtBXgfXG3TSo+JPxH+7KHbqnEtu/pifMYtIwnGys6D12B
+zUn0q40XbZwXJzaVrpzG4FjEhK4RBAviDkXzrNFUV7bZGs52Wsa+hdqVxfrQFevSzaFYRlz4DQB
J0A3osXHCxuBB2tI75yURgazvSPL63CTuoV19tkI7dmZPJeVdi2mdje7jYwsW1kNG2Y1HMh2JOSy
u8fQMjaW7FY14DYsos5lneTXTqF/dRO+w1lqPDXueG0qOGWpDD2O1bRWEtxIfMZZ3GIuBQkW4BHp
sKd7qZ99QZK/BRbGMTeJdzxwL4GAnzOoJ2CXqCMotnZWLFhIE0IE6hWRCZyi44JYwC732yWUK9xx
ygYcxNa2iN6UcFRqIPdCHViJoi8W5c8pji+ldRdJCBeqLM4oDg7VecWG9gCMLC39Ug2O+y7YDqqz
zArl0OHsAUj6CCPTG5MBASh7Zti38NnYm2Tg/SZ9kulT4bfXuH65I1XyJ5jVe1JVlb2s6Z7DXIgl
Vy5MH0MsDfV1Y61NtAURDNfm4N6mMQlhfMA1kw51k5ly4fog1iBYMA5R146bPY9VxIYlXI+4A2oy
MJYzuGziw52hMdGa5L2qNfjZnRvLKu+dsL6edb42+5qP5VOlQihAifVsA365Va5rEsuUIK1IIELx
CK8MGR6LzrhmX/qsKQTBpIqliNyJqm4Vt9s6tbJWw/QmxijbCO1O8pvaQB08S5QrX+kuarVd81U8
1a6zxkO/JxLNBasVWbphMeT1km1VzvRe/9K3xT3/K5O8mrEckUkWfJOgn4f9Ysz7R84wi9xRLogc
7ibFXhUjqlMnE8gHPCTC0q/wQY+E1yx7ozd4ftv8oWEvPpY2YhM4i9AkQdHIbQ4eDf9WMe+RN1rc
3fdS/VjI+Jpms82cXo98CIGauwryZms3grvT3nSiu8qL9KKcciwY7U0a2Vtn8M++Me1yM9vDGkSW
wQeQt6A1SI2XvkqCoeco4FzF0j0Y2vCptNLlKNV2QaT8zpcW7dz1Oa/FdTsEKmJufdPiv+jKIvfk
NIei00MqaAN2KGfq0+Ao54VqKu7HpLnQJWjwEiYOEe4YEFndz5seRL8yv5PluNf04kLRMWlj2/c/
M7NNb2pmWItJb/ZSJfTWU1ZAnk9R4q/0U97FTWbvOOwhHtvNp/nEoMOSj4uAfJL21coUj7PlPVaE
HZHZM+sts0KZbDQ6VACg870kh7GYVO1TyGl47RrJbSYp+KoGSjQN7TJO8A4mYIjygvA+o++tn1gk
9JVsFU0Ffmu5sMmtL7RRXyZpvBJhfjkE1ib2h/2A/aRUypWCUb6Rwit5/vENoMgg7mxi88FKhgon
A3YISUOJe8pDYnDzbac4tN/BlY3UTYAXB97MKi+AVGV1PDBvnmhhyC/GJriQDX1jAt+KhFmfs4Nv
QNfhpVf2OVhicmN8TwmdasUuVZrjpPSfall+aR25CmJ6Yvx0oOOYiAT9LfafvY//WKP1VrVxXnaI
jJHgXxtUGjIEfbtDpF1OyjbKlbOabSMOYkVyTXnGbzSbd4etbxexNOZfJlvblwz8q0o/4kb4HU1N
OQ/OZ9lv+vbTUDwHxjJj9Pxqh/6TM9bPNrwGgs73K82/yasrFX4xaqBAlbMOd8yklsFmzDQx/fgQ
tw9RYS1+fbmfvnt8mxBQTSJk71+Y7hQgA9MiuOyUh6a9qIIvefrl15f42Stit8xmeaY/gCp/+4p8
yx4oGynDS+BYcb9px3GVEhbIgk1ERYLe/Eb6+Mkrwv3GoYV+YRP/2bsTQ0d0UB/VJrqM6CyJDOZz
waZMfvOa3sorLzfdm4vMf/7qU6p9pUGN5iKxRBqSB1ADy1+/a797GfOfv7pC10xNJ4kHXMryiLF2
kRS3vh395iJvPfp/fxnvPpoyGZOyy+roclAMLxQYOy9NCntc+5OIFlZ91tv6N1f82csixscAGtM6
8A6sO69fVoKcGuWxFl3a1VWlBgsqbmz/+d+/dSireMwM7gMksLfX8In3WU4nY0qHQpy6SzsvFn16
9+uL/OytQ8Z2octooH7fyy9Uoth2FEEQk+Wn3CJ6wNmDxcD1b+L2wsRC0ftXv77ifE+9El/mNYgl
7q8rvvuwmG0x99HG+FIdQLnWHw02UL++gvb205ltUUKzMU7paO0W39d3i09dmPhzBi27jA9yBy5u
gaizECtxFV6LBSi9NWis9a+v+faSf96Cr1/Vu0uGHSxFLCfxZWfVHJPxO7osCsX211f5+XtHsgXU
DHfeTJR+fdtZk2bZTabGl7S9LHTtYqbm/voK87v//tMxtfluAzg+S65vr1DWeqSNNZN3m6MvrYHs
Nh8ikzxeHP/mtfzsHXt9pXcLHCfiQmq2FV9q4il0roR/U02/Wd5+fgnSQRhW+SbZ7261CEK7Y05B
cpnnZwGTeqAJWm+t3zzqfvYV4mb7cZV3H30iu7AZA64SJV9Scq+GsmKAKJJ2kTSXSoIZ8zef0d9e
FrMWjC+mqvEo0rDBvP2MdNe3y8wu0sum22Bp7S1CMde/vg3+dqO9uwQy2+sbjVJK3tCwSi9pIsD0
EZBUF795235+CcPhW8OGB53t7SXiYcDRz0nrsk6/KNPO6r8F7/5xR/W3W5nX4DA94HuC8Ka/OLxf
PXpYOm2k8im7ZJ+XtWIRxrsoZmPqPr28V/+pssYvVdnrqHui8OIr79b7fN/8g99VWQ0UL8NQEnRM
Q1m0/rK/gswi98cAEfOLypLG5/fXqFQFiUAuUJtzfABi/hJlgf7yUdIBZLG+v+i1/2JU+vJ4+2u5
EwTfkIotppGuZekG84e3N2Goz9gFpmFHWVRVaR8UqvVndqip1pm6dM04Ib+rG8kytHwcBlHfksEb
R832xiYSZ7ST9NzODch4tZSdELlxbBNlXPZ6nV9kvpvdjEben1uqBQ+zIe5LEzT9Xs/65AZIqLww
QYXni2bA06RH5rZgpLPWYok0YyPkPoSqqroIbuS5JY4b0003ia4x4ktzXKcgT54VI5rADVhU7roh
dQ75CDRXdVxyvBZYUT3WPfyW2SIK7eQyy1r/VmeTd92WM51LpYAQVFdqz9yuqQyZ8kj0daZ/mp0H
Ohds1Q7NoyNtAfprfOGAIUd0V1JqDjUSxYwKA04FNQzRgWI1EVXxnRJPpCKqLoExNsz4ANwqM3tM
zBiypMXJZs5osknX9aVNPfp8jHWaslpqM4ZH7aQrLsiAyUf/BdZD4hpqrTsjfJRqxvmMUW4YmxGs
7G4MwSAsi8m8nrSa6hq9gwpUgAdqsBntS4tj+1Ggie+cipK76ymmqHKUgnT9IuTG7I+ZS9RI2fy3
Irx4J+ZHzT/PafB1MrnxHuXnx585KOYf/rEquAxkkI0NzBDfcHk/ZjUqy4IOjgUyFd4Ccjw/lgXx
h4axAlaK5TrfCsC+eztZFvgiMysw6PhnXfhXVV5vH03z1FngH51XJp3mZ2t2s75++hmhpvTQS8xT
iJpbn4bh06u35SeHY/Ndk/WfHg2TeTbIK/bcwn73fG392mx8MbSndmL0jh+AFvdT6sfXQjbPDbIi
Zs1omZkGXwol3+Eq2coqZhRfktSdHQeoK5vclhhM1du4Ddcm1gQlJe+mu4dWECusZ/PCFKZn7cXP
YHRNBcaYuUHPNqijAkw3FoI8HH3kxThBfFHFju4+/7kXKuamLLSWLHH20jSj9Gulz/wQeldWJrMl
bOiBch+nULPdxPzShgOzbPoXFyYekAttxq4GmnO2S1tZpY68hwdorNhzUothmv1lPNDVZWAiWGvg
y71R5hedjB4SXT+A4iFpnI0HcsvVNs2LbZ4301L61a0vUlx/0RFKi4HXPn9QVHhQxAGesamem4EI
ZJ1N07plhhKUzY3NxFzBXWVU7kOiKtu8bPcNWPCFaMerIXH28TTQIDbJJfb6Pd2jj77W9V5D02Dg
Kss2iR4bDBJebTOCFs7/Ze88liNHsm37RSiDFlOIUIwIajmBkcxMOLSWX/8W2Le6MlnVSWt70x5X
JRERANyPn7P32rssSi4lOlgoU30Rqs9MKA6gHXZ5bRz1ojb8Rh1Ombb4JvjEpqp3Ju1Et9TB38ZL
t1vS7KoJ4bC3i7joYtgvcDCZVCQHXdLvugy1qrowctIWlIsaJz3RTiLo7Xg/E8LsGgljgjAh8Kvm
YFuCNut1JxjlxuNe4AEoumFDfM2BNrDHfO1RZzY1CuNstmQmd8tlGus3IqcB24eoJfThJMZmX87j
PpoSyBwMxXJn3GUD8kQ1uzWVkqTIJHsE1vGghNajGfabsjEP9mIgFm1eMFJgyejgu2rtc8mXR5g2
baV5+ZZmNNUt4TWhgfhlOlYjSQJ9zXQAXzZ/1G5VV2fIEZnWC2/Bhqi25yhEtDO1XbKR+p7Hpv4x
l8nOXjlwWvWChepZkuTb1lrBG2HiD5PjyUb2tqThdZoriyvm6Jgma5OSZrOrS9adWByvrgB1RnGE
RSrP3xyFhEkJ/0NgL5Zxstfc9zg2F1+qIF8Y5m3i6E991UYbSWXyj0OLtycZb2UluZB60CxqPQKi
rgl6kxTjZkJp5PUzEcpDJKd477U2cLIK1I5ODs/YmueoU80gNswH2bQRO9chHTeng+IChLJ0h8rs
eb+bIQQGOEvhvIoX4/PUxOaxxo8NspbQJLB0UK2llP5sVgpfF1aDu1qSg27RkQR1YXpTwvwGYdHL
F5W5DpJmuKh1c9GRclTpVbsvKD1cRVvzztS63VFZJUEU90dTidAYplWxVTCHhNPiBMu0cpD1rArK
ri6xV8TZpUWBw6hFaq+ZajHIDKt3Y5kfmlB7tdJ6x/p2SoDfeI7CYHPOpGOYMv1VMjB2qWlMXpeV
+W1p9AxXFTh1jz3joXFoRg+qw6VOG52VxQMl5NMU7f2yKi6s2mJBxBuoWON10Wv0VqzKZY06ILjZ
ZVodJEPiVUt3zBJpKwxxkjP5kUOYp/VrrEWYbYspJS8QTU0bE1tlA+NWmAu6oR5bb9VIDtWyrI5E
vR7zu1TJxw1R1lvNKmPo4MDThL2kwRLHzWmx07OmVjuC3K4ViLpeRjTWxMBhlbr7LHl7VQn7INJI
yMjm4d6UqrtchSeE8TND9tWLgKSrnAT7vj+Mslm+FPoKDYylH3UrZH/uSfXjcnAbIJRdMgttqG5S
YL1DIoYt84Z5y9IvHsOaK6h9dlfkWuxj5XIOPZl1YAOic0F/yssopvfM6YWrl9adUSP2cvWEXnau
ovye9TDkQFrfmeF8ZxfG8rSEBfC4Huq30UdMhcZp0822tIXzU2zLuS69jH/ItNbon5qYGL016Qhw
VzwKdiXRwaTBv43Ta6PZeQMAuXxeARLFGK867qBvy0t5tg5pPd/LIgmGmLkx8/D7PlPv7L52LqZ5
GvalhPy+DDMixfqEEYosP8OIBmY36fVTb8J1rErilFPBg24xRnalUHtSkeLehqoxbeyeONGkl+fg
99szZ5KfeyAf2X10rkkDWs3EHEF+3f4ZZJskniXFuYOrRRzX3jDH67FpN7+/DBqSf7qObljgSTVe
+89FQGcteRoJcBJZdmpN9Z5V6cpmgsxySc08r2bNOdsNaDMyO921qgDxh95MLS5YqY7kmLiJk14L
xo5mLQea6D3gy24Rhd/L3hzcmVcAmu7ZlL9SUP3jJ+f4ZdF9MFb156+/kJH3Zdw5aXEecTtHMzNy
oPHlF4kqH9bDvw5n/5KG0etaXd38Rjzov16l7dNqhus0nKtItOjX9b2G/8+Vw5p9g4HPOnd8kqqs
vKal6M+OvB/tcTUVVyxUWF+WJGdouPTXZAw5t5AyvL6EWyRzQsJAw1auQhg1yugcS/FhClFHjirv
jZkz+p+BadwYSvaaQhRUyJDcLmPthq1iBiKL0yDttHeJMF+UgUyUtRpSE4HDXllr20TAQmIrorQR
5p6gy+9IBl4nmFP9ym2drOw0L9bgWtYs7WRlTE5ERObuMiEvi5QOnp+TWL4SRw9hr+R39WiwfygR
2oKKGZdZdTuAYcFQssUpKGbmxEqDSlYvOe0W/rRMCG217BjKrz16PcPasy4+2xJSeNohuznRoXo3
IigwZ7gVNksNP+eiU3pMvGa+FUHvmKR813RoNnJlOnAEfE2JJXyfM2MrQ9rzrUwgdwNCo7X1JtZa
YgbV6SY3zezs9Aoy32W6qK32izwbekKf3xeUU7yQa66mLTMbWf/7Tw0dGmtlwX/rzmioXzWnzf2l
GrKzKdXAVlrxgs6ZnBuotYoJhDHOkD1q2YlfZXGh5XA4jNpTJy3uuKgno7SfNL0QmxbXyKbvZayP
BkqQKMaVA5UMsnypEyTIpu6DGa19ogWpR1iI5LwsiPWrb6M8njxFtAyYx751OcDiK4GnmS/vDVZw
h86UNygl2YC5em+qM7UzpHmtU3yzbIkDQkPhNqP5lNjmHpHnNwZMKWNklgEng/A43YUOLPqh8Wq4
AWAaeUKgZM7qrTEMpzQRt3Vs3OSWszXn7skGUwYSGCOTWffUgjWajB5Xpb1aUzVsWTINBl8xpVeJ
Z8KrHO1Z0aQnRQwoFTsilAQqg2GRJleaSnRCzVYGmUIqJcwSFA1i8PW0kz3bHi+sJuEnGYg1AsgB
GfhOWxOm7Qkn5fyqjfJ7zdG9sMwAS9Up7Qs/HdLLUkxHqzA3IwpuYcWYXgqL8Xh8nVZSup/tJShx
QplZ6OcVBU1pRpxLeBkHybke6+4HiRtABWbZA5WPcBb4q9kKEAZkPijm0Wy1LTMy7tIqqdajxRvX
CjXtxVFS4Ocq42OJaDmS4itD6MBry42aShc5u7gYQY4oqMmqdoPttnD2OlhYhV0zC8dNx/ZeNADh
e6lO/CyVtsloXyzMZy2HePJRidY8WhbdBVZ6AvDGGO0rGHQ7NAUX0VgfESFQ9XaZdJlVa6BVZh30
aLyoPrx6JcoGrUIMOMrJTlTjSWo5JWQAo7U8KMET4fm6Mo3Agg882mcyCkxE6/outIbHSpZcEJEn
02iaYAr1YyLGFtpvSCClOlhei0UAYUVYbMdh8Svqhh1+ntafTWvXDFQhFjELSDiGAEKw8sXW9sWb
+rm3qwpnTpwq7c8m+/7QntDpeNOwZs1fps1J4cTy+610bbF/3il+WhnW/uPPK4MqRMHpgpWhLL8r
1rdhggh0LKKnUf9qaLHuOZ+vBKtMx1sBawTf/K9XGlvk0ok8TOdFmTHnxVO7UijvjDYq96KUeOam
4aKqMMaXiqycaDsZrpmUEocJbObIxbkzivQDztj1VGi2O2j9AwGel6Vs3SLTdzn1eF2rrhy8iVyT
aJN38UuR6I+SyKqbqIfsZwjRbXOjvzAS2aWwCGZFHhEWhVuyPKxHYhBvqwUlg2Yceq3bE9Z6sUTz
3qicS1AVFw3btiWlF6la8DJJriRsb6qUx7xqgjgL92Ol4NEjHroz8tdFng0vG6PnGgvloxqtWSNI
xL/4VX/tt/yfBvynH3Xt5P+0sKemXsRNaE9ne3oRy9tsf6Gt+Orvf9o4ZAkumRml8zm2b6vEcWvt
/vfP39/qoVVQ/tcXMD89fwSFpXKqRvPZUK9iHR5BF8iwl35/kfVX+PujB/WGkhR3j/np0ZusdoSk
zLdwVE/t3rsxpya5jyfri7uh/vqMf7S/sDsglab5RWn6MV796XbMSVyM0VKpZ8qYdzY1/y7bhL4U
DG7sPbqF+7g3veH4dgN35GEKXrNgfuONbnfa/vdfWF37bJ+/8U+v9ccH/emDOEPsVKsr5gwKxpc9
OZhu+21+LTZOsIayb5Qtv/MGNpgLEi4gXGYI9HPx/vtPYfzTp/jp5hqf5ntkjWS22vC7P017NbBc
kKFXlnvZ6phPto+Gd0TbuHXOYjPtiltjdwfBeDvtWPfcZYvmufVpnfmOLx37XbFtL9GwIUryH4DO
nMlH2hp7Z19ejLvmPt/c/v6ja189+J8qaElt46xC13oGoOAi+vtebao7xa+9xA994cdBsckP5fbq
/Rj0e0DAk5ccEtc5JOfIY/PBveJ+C72H33+qj6zKz7f1px/0czZ6HJeM5kw+ldg7rvCWXb4N7wrZ
TT3iYeARuo0HMGJrn+ud+kIjLfj99f/5Zf3rPfq02rDUSHNbzdNZXsrAGseLBe340MvlF5vSuqr8
/Wv+dZ1Pqw7oO20YlgzHVES+8fguT7vRfMPdXstEMFWb33+rf77V/77a58OkBN5fM+qkPzPo4eR3
U0XX/38X+HTm0yYbXzmQ1XNqXKgJfUDH8n9/hS9ujLW+iD+97lJe2YU186KV1bnN002lPi2oyH9/
ka9+p0+raKtkLWrCpDtP610hl8aZEu/3l/jqe3x6wPpyafuiJWx9HCYvNs85CljG0L+/yBdPl/Vp
VTLDSJppzrEbTCZIqCJIs+5S03rPmlv0aep5QITy+0v+4/cCuGdBvdBkpHC/3h8m+RqZe11/1uGP
JwTsYSUzt7+/xj/enp+u8emlySKAv7XQp7OR6PTvr/P8i67CVxf4tCQuaT5pSVkPZ5lFm2Z0qmVf
/Eyf5Ed/ljP/fhX/NlSOGfqEGc8xZwOcikCPd8QmuQu5r54Iosvezb8IL1pdSr9da9Zv/dOrgyhX
Q70u2KOeaAwXrKqniGu746tyXPaDe7V4Ff/BNQIiC1z7WnJvumDd1a+e6yvtwKlduEkAa2NXeGL7
1cf7x40cVfu/S5fPT07cjLIS8tIpl+tGLrkMnfV9oXhuutX9x8I9yO588UN+43DW3M8Xozt+sXqp
6/L0u9X4030fpBY9izNTS/iDv/irYcV0nYvMv3HO5lHb9v6zugndgo7tBhTt9muJ2FcfwfqkeJGm
XtKLserO0kXpEvWwuMk3Y6P41kX/fdrh5z1aW9hyP6JnzZu26WXkJ99//3Z9HLx+8ytYn56TFGqv
TrgQeYAb8sdcxY3Xqm6fenfDftrvCbBwlzO87keZfOJ8U22tK2ARfh+I/eiKl+yLlfLjYPa3z/PX
6/5Z9WxLRGpwVO7PdaBvzS26+WmzbJZjfKG47xg+Nqln76sdTb3j5Fn3AYx+blG3TTe3sb8WCf9X
HPxPzLMWz/95dH+Vvb5/b/6u5Fn/1Z8ze3BMMiRsA3rMiqRb9Tr/ntmvpG4d9KJJXUefkeXpTymP
8wfHFQ0XDHNu5uArUO/PmT3+SjAFjOuZ5yDToM/+X0h5CLn85Q3n2LKeWVhaLQf806pn/XUNHOZx
0Ds0HQyDiaojw+ixHOYbqxzIpXKiy1ypk3ciDAo3nrU7rSO9ZNCk8Na2xh/E9GxUZGTuotEfjOw6
kIvMxq4YZQEn07cmwmI1ZYzfhr64QYYTbWWnDGmtwPDOM6LwKuut1+Jbc1geRd6Znpp12Moq3SNk
L9+lVkX4U5vzFyHeak6xWTL1lmv5Y4esCHM5vax+5uBtg4JCUHPqUudeNxmZ47j7lrT2SW/Ca1mf
LkXU7kprJRjj7lERCG106kw30YerSbXKYFX9u5Y6QS5gchdGKsPy2tNqEiZxxkL6BaqvYBfdOB2J
gym4maCfKy3Q0nBrph8909wBz6vfMa50B9JweuCizBtkt26QU8f5vF8Uwj+6QtjICJYHw/mWA+1u
1OnUtvnBGrqnXibIq0owJuoaYoN+Jg3eHOhvG9P8nQiA/aBYgPkkLI6yeIgUpgiOLXmAjWpXb4DC
xcsuUS1smxa8AYinZfNQSsZb388XVplupZQ5O/bBulX2fZhek3/KLN8wb2x+oRBskiuVzWbMsnOj
OzdmLL+l0wKrUHYU5FCMjB1rvM9V/TmxnbNaWRCshwIfd6+gGp+sCyWx76RMKwDoyA/xkGTQDBOY
2eF9NTXnqpcuoiblaJdl33VJvEyDdFdp/XES0w0Y4w1gvKdeSt4zB9WkQRvUayp4ecsKYGKs9sOa
51u5h2dY686J23QcafjXtFVD/QfxLEGo8nVWqVllwYVgpHxbCoxsiQ3mObIIhmCW0BTli1aYz1re
Anmep1e9H3m+lBqxY1Sk7kD8pDJk3+BnPzqNBsZaxeGWmYfenHel2X0j0QiFstDW3tU2imNaVGF9
RSupw3s3TL7lOOSzSHPiS4IqfNbsVYVFUGXHj7QUsA8NgfFVJ/yxM6sAEz+mt7xxAtxJ1SHE5HNW
+/Jhap+zeq/xzj3TymI4U4NYjFJYjp1+X9azuJ7HxtmHKQOK0monsDbYROV+1L2+VqhJVvpfLFU/
jGTsHFjddVdchyJM5qDLCfC5H6AEpGjLCK/BDocd/7YINRI8pEh7iPUElLrS3yJHZwgwE09Z6AB9
xsHP7CRBUu9s52psfQnIC2HPTXaIK91ayRpKUI3aczkYhEEvvG6Z4JEuxs7k+E74GvF/IApIErOd
6dauJoL5hLicxPINlzIh1JHtEx26kcceKcmKWCMrLyhAr/oYI8mysc6TDhGygpkLOCo2io2wyeXp
bLExO5p2NlZowL7ZVF5lcb8BEt55AJsuyqplDDp0B10U0TlLp/tUN2/5dZUt+MZzmzRXU93fOymC
IeYbXhSOb62pP5Sl9pTLFnAF/HNJpqHPq1HLoLp9gCvB/rrkwrM15TyGA1El5ODhj8yO8khiIbYl
b1qls3VnPFcSoXJqjcZZS3/MS31fJdZDVcenrNHfINOTf5RblyaJy2ZfygzZhQY+C8UP/ivJk0Pl
TZ6SG2aYR24eKSPJgugmte7zAfXNkkF+p4UughrRhLlIus9EiDophV/S8TLNvHrWwvcU6h44CbWL
6G6SnlVAVQ5gxC7CvjviqMdlhr2NsAETqMaQO+T65oQmWDZBSUhGgjDtvkti6TalUzNP6J3YrSqw
KqFDmyvrSS0slANMsVdpzsmZXu6lWQPDMc2kftXJ7VxNk9eM465qiSEkQGQdnNXvY8l8T2rkyivz
4j62TSJ2q/d4sToPH25+NxUItgr1Hstx7oUVdyOzws3cw5Ujy5hlY9yDwwGDava7KmF3qLp3R2Wk
2eYZz1qb90ieMsRXDdY+ZR7gxUUEAJtOi5+za50XNW87619zt/9VRDL9hf9cEXmv2SsC59f270XR
+g9/Loqw6yEf1jUQjata8d9FEZmkaPuQESimvPoD/iqK7D8MuJWUUNDN1/QT/tOfRZH1Bzs0Gkag
6ESTkmf6XxVFnw6GFEU2ldrKH/7gXjif20JFZA9DNtjIMXhWdlUUbkUERbvRxoveGsjr6dX2OPXs
DZq8aFtn6q+YNiwACvK3hi3Db6HEZbMwAkdDnBKNpkatIWqvF6hLEmlUfdHZTJMIKPIlTPdXAAUf
hYEObWg0zjHycmGH2rEx9J1dOhieJVzzcwW9Iio95DanpZkBYJfpsGOWeIjyBJWXbhyWNRQ00q2T
qer3kVERRB3b185opX7RxNed3LxSBBYMOKOHITeYxcWCpuVkDV46LCezsB6nMG09RdOenKx8NJnL
OCkBExZp1UZ+6mzcaM0o7osG3Iuk5LsiZLaJkrgoko0SSc8q490I2lMn1wxtmurIbvyk2uRyCBLt
hDFtB1B2ZMPpr11mc7qegO5KhP0hKxOsFVnmaw0bw0wmMwCBog8GajZUfORRjBM44kjblYKSbBr7
87hiqKJlVLZG2m0SwsKmFJ0T8ZMYXtXlSgvNd7Wr7tJ+3oy2krtahHFWNzezyMEbExgRWu2V2Vv3
og4ZTOnzk7mmo8ajUfnIOBBxFTFJSvHc+gUo3q4hbG8qrI0issOkZN/FsuZpdEyqRUNHHe6zZ5bO
Jb0yFWGqtZvs6LY+62Jv9ijqGIKac5J44KM2sTVAUa/jIO4WckM0XClNbz8J0wRcX68IkDLewswv
3DQv34ktL/2kg1yu1gq6FtLT5YjOwwx/cUhckERvTaN9Rw/yneU02kW1fo7MaE86K3ni8pAHyZzp
D5rBoiljUGKEGXtlUR+Il9lnhnIyUMM2dkTMYxY3QD9ha6qROW/tD8Z6YfRdMA7SdVyN3wD7jQ3R
WYyj5abeLjWqOqurkWTW5EXp1c4xS0G6F/JEhAckG+r2TpUiFFLN9Jo6+l0sl/7Q5oHMaBx6PQAH
xXkstQF1ed0Nt7Wu1EHsRNO/AKJzKCBeLL0SdBnqEM3Ibhwif2BaskXGYl84JnEnrUL8OrUgglPe
CyvrAzuplI22SvJM3vQNhWlGNsbSX8wqpZAk3rVo1K+7ML8BCE2Va4JkYWNqYTxg/kYAE7Q6cFFq
9cuy5E1J8mlyNVERYmccRS7LxLvRbTMTfsDCfOk65dCW17Guo/Fs7CvbzsM9UW/nKczI+Ma/4Kjl
N73NKAjm5DXX84oJdZv60iSlPoGQiTsaNTLPGuHKSmPQZi9ZyOLVvg1YTBN0AmTCUfqBVOYxGPLw
Few30sm5PoVLqpCsK91Olb4rFAF5uxYPUpR+T3teGbXAp16tMhgHPCMNY9cBsL4GstzVRfjDgRHi
RRPPnZZZW70sokCfKDIk5IJAberiKKmTcVKK/I7arT5PA3nyNpLfwHKWEO3MQJ5tCJ4lapgGiHE4
wR0glc9CPpk58a1oeJoNPVL2TZYI1CDc8SmEfZPOy3UZVqarrCyuNh9ot83SjQZ9z5e5ElAKCAWA
U0avSFPwjyBOASJ0OphVCOq6OKQzf6vX6ms03xdZ2d7KoYzmOS5R+w2wOAw10JZlAnRTNk1yWU1K
85R+pC2ZH8lLLRlM0C3XNKaPZCYCIwu/XuOa7I/kpo+t8H81gUZn8j/XBCu4+lCC+Yj/Afq//tOf
qoKPNjmmIltXKDV/qgoU8shNTDJEklu6KdNg+bNVYv8BbIrNX8PYhzXgZ0CkRX+FDJKPP/bhovpv
OiUfg5S/um5rUYB8Cgc7TlmKFoqNXzslWNxZAfS5uZx5JDnbqL1CMlJR2AmruyguY908YRgiQMlo
tnQjDEKeOO4ukXyjhfpN2vTfAcrV7kQOE0K8C0EuE0KGIxJ+TyKvKSO3ySa/CawR4Tv69EaD4cis
AsUYWU9YxTZhZB1bMqDKWbo2yYSy5uLRIFTIJivKBvKOvcjFmLNPUaMJSQLMTLqUYYuHhrQpSZev
5zQ792QoDqRRsecDiTYnWKzL1mD3GuPo3kA1L/GNgqwZ3xySrUIn3XSN9kJU5XboukMRmpuOJKxB
r88hyVhOOW2cRfciUZFvxfJc1ifgw4+IQHYCsqEzz66UlpcJ+RwQRAKSE/yaJC4hD88ktV0J0Z+i
cfaGksQukrs0ErwatQKG8aNtHDXI14gvgRB4IfMLTr0bkwFGEudeah2fBIEbES1biUNpXoHyrxqC
EebWDaf4MiJVLLVGXyFlzGjz3TK3N7ndvRWkkEl2cca3dRxIJ4PUc8ibedfXbGOkl5GQeSb3IVhC
hzAW/cYSKKlt6DdksIBiyUbUWZZElADI3DB91Ur9xiErTcTI0QlJu+xJUSO911/ITGngobSkrCXO
tFdIXUOaDH2c1BlYgi7R3pyoOEWKNaptpePGNuFt5hrjls196Jcku1kfEW/1RCQBoW/RVIFLroRL
BvsbecvOCvBfU+LajySJ8CM9Dm+c2HcfC57+sfglulloW4AC8cZRyAcdpnZPzLS8Les+W1GFN2nZ
VYcCJJHX1jQZUKJrp8lYiHImG5VIhLiEqhWpPsaw5EZVVPx0MKdgRu+SQmnRjzlwemJl8YgaJnWt
6BG/VVYddLaceL2FoIhoTsNvzfk21gF8dg7T/FAz083SwxQpsXW4Y9Te200nB6kJNjzJ1OvYnit/
IXHCIHbWkdQ7SQ3fS1sjt16/XFRjozcp1M909FM0e3oWfo8X/WQn3aOE2S85NT3OAf7ffnU1YBIx
oyDOy2u1zB8AtpEkOgApDOHee5CNcQtU+lsUwUCTmwL0Rlv3PiC4c0wshmtNyTfMBZM76BxChwHy
Tqra36PKeSlm9d4wzO98fgH+TW69edYoYivsISInYcMoUOSR+MCYgC5ilTU+ubqXg8gPdj4+6NP8
o7fkQ+LYB70UKMGlPogj8QCKNABkWp/ncKw3RKtDke4l81Rm4W1RCRTETtoSgTYAttNxBOHafRrx
EPptTa5wuXa9prEBEBQVmySd9qGUbRMZpLSzDM9LSVZpht0hlq03MUxvkz40bjOR8g4vf6eZQJYs
IvoiBJyUnOrGrjLYmZq6DUv1qatj+nKIsurW2McRMs7ejJ/mSOOPS/p7HCJ3NXHyO333JkE8bVX8
h1MoQ3cMH7WImPQZBtKi9ggTiQHSetwFetf07tJUdwJguy8ngEImk/s+heGTlsk95P7Q4vnSNiQr
0wFxRl7ROJ1RP/BagukjiUMjKF5WOWGEkObwc7lxGjMUI1YqjheTzzYcKrKNppz8pBmEkJ1r+xEu
rOiGh0KWD91oL24mOdDX6OC5vTwdUyHfjlF3YRTiTpktGH2JyVEqIaFdJ/zdnKQjIfdUX3N63wid
phuIeT+zqqy/FSItNs3YRsKTylB3h5qCVwIUsde7eCOyQXcLGfuAvNCUgONH7FqblxvOlYc2na+r
vCVokRPRNdKP+F8zpP/VIgZdgf9ci9z12WvD+O+z93r9V3+WITisAQTIBKapqLkw4/xVhnxwqjWM
wHAeKELWvsGfZYj5h6WvfAEZVAcz21Vm/WdzwvgDCC5OBVoWzFfWbsd/UYdwFvw0seHCa4uDz4DN
03bkVXDw09SaNE25LvISUjVHRGwx/QvbO6KCFIiaPKwMrezRUDjfzWV4ihtiMQw4VF5TDFcYGfck
szNJNlSGB6iYWykmVCw5kRM8cmaLb2U5/TbIjIKkcmAVl0Z6bqN6Khdy2ULZjLy8rS6LSX4cF/NF
bfUnpyaoxoZPuQnX19SRlk2mS1JQj4IVi+XDovPmxlXyYNjFSzWX94OAKFF2LYYD03xo8BkXU/HY
OdJjWMwXwrRQZMSnIRVHaJovbQmEO3asq0YzmA1EdpDzxVzIcuZWVUum8OVzPmNn0RNt4c+u+O5s
3NnOeD+rqDOxjm90fel8dQWB6WOckZFhf6vhcfqIc45tl92NxcLIlLgEI7Vvytj5VrfOVczYhbWP
ZVxeD5XhOJ7taniS0+I97MrnsFYv27J4B6bieH3aREFPvtiuJeacbWEXY77Qk+gFWMMQVJmNIJ5B
EYOk8n1UnBN2984nGx7/DjmTeI1yZ0MmLj5ExTp2Ld5KPUSLm/kLVNPNXI4buRkPkePsItW4IRXg
B13671be3GlxtGVffsqjhXXT4kNykxy5AV45kp6iyrSGVHDg1yaSYuFMP4gbLX3gmtuS05LXN0nr
smo+6pFxo3ckqZBQd6dH6o9eNYf9HK//HCfWRtf6p1zqd20pcNMaJkGomPHoHCdbPAzPJa7/jVr1
Z1UYMguvlWG06AxX1iUiltKNbHF4BzuzrTuB0xX0kNtX3LW8U/G1GSabWKy59WJv6MC027CtLuIw
rw+r2QdfL8WVMS43Fm6KsSCEtdZrT19CZmkpi7ncTegzlpbzf88TZ1ij5NkLD/Hccg9ztYqCsVlu
y6jhqoW9icJhE8r97WJrh3hMNUZ/WeG29ID8KKNlP/Tpe1dOTzb0AdcyqzdZIXC7KEN6X3QBRjne
YdAn60ESO5mhji9ZaeHJ0BDNWd4qMlyBVpacHSG9s6sN9nf6c0d7AkpZtUkVMCPcm9E8M70ciiDK
J0Y6xoEgAw6qHRMdkzjZtnfI8mwU8vaWarnKJ1O90IsUrwpnoGifqY7Q/DQdH1UbG1/QSK2IH/gZ
wu5S7YDFBWZsaBszzOXizqJHSNp7Vy2EkMMgxOth59aVFIrYvAKQKK60eoqe8YoFbcYj5OrQAM8V
tr2kM0nYHSdXJmNUWA4czlqWvMgxpms5kxhY1bEWcJTQ8OmQTOVPttnWewqa0HTrGHKuZ8taRhd+
1jzSBK/L0pzqrZxo6lM6yjIDECzGrDOZUPzJtN7liAwTgpvnBqHHGJbOOnXQDRpCsWpFd3JnZe2z
Gg4RSkxtIVC3lnMzfEmNWOgnmXATiZ7D1Ff/2y6VDzaBirLgP2+X59fq9e+b5fpv/twswUfDFEHE
bYHB0p1VvfPvTr76BxQuWrsczFcY2y9ndtskxhQcAeEOoNp+6uTbfyBuWEEFGjSBD1HEf7FZci7/
tFkibwDHpGNHJBPVJMDq182yqdtcNwZ1uaxWIYGidkilHGjulTHfK0m9Ddfoccajflj1b3IfvsRr
cqg86RetEWY+tSapt7UvG/PJWIAjGqBikal17AnxpRlnmzm0rxgSECCs9CqbnrxNJ+c0agDP83Jr
R86uT9TLRC5012Yd9JqItlhnjniTyp6jtPJdMgti7Hjb00GPTpaZMqrkuODatRHMKktozVqNE2Uv
GyMeJNV+sCrtqlWzS8NhNtyzsQPQHLIH3ho8yaxms+FcY3K9jUYy0g1wrLMB0TnKSsyznU6HOEpO
y9JXkCm4zmwM20Vq1jo88iRT2eVSKm/+H3tn0hw5cibRvzI2d7QhsOMwh0nknkkm9yryAmOxSOwR
2LdfPw+sqVapW5JZ3/skmagkWUlkLP65P6cssF4jXcab1k/0FjW4JNQWZRujHAjE4ydZwy0IkpzG
4Cr/FrEXsPXSStE3u66qIUSyI+wolBm3rh5v1ZDtayk3Y9SSwCOEVFu5OBiTOpl6nhyFxvonJz/w
ljlgmLnnIVMq8AfnvhIJej03w0CTSOaUd1kQZBxSsx1xkdl3VnZj5wfPxZGWmYxgZAvGIXxpIu8h
1aCZJpq5t6bwHTQUU0cgn8ArWJCYjIMak0S3LBAyMbHQKiv0B/p80AFG+4D0Pq6tqLwTIt/DmHaD
mLlCEM2k0BRlGQdn6Alt6zT8kY7YJpIm6TlOpk0V0lpoR9lbLSQ41Ir+LPJzxp1fIc/MdraJbS/Z
EaiM11oryI8NGATQbYwCGHUoEZM0m4sX6ZRB87JD6dnrcbFz9JZlrhzDTXetsvNqX5OewYgzeNpR
OPH3SFPlxgsz/wiThs6lvD5QA/HQ6M6yPxp7SyvbAJPNpok7e9N7cu31Up2kVy8GlA/FmJWtZjjp
Y/+1bCaXXTt56gyapxPTN4M+LL/2jadv3GY+d3I8F4VuBbWX3s6t13MLi3btYF9JNvAp1J7aQXC5
GxZDCmlLJ7IuLoYJbkpbO0nZaq0MSSFrdqlrnHMH+jpxsJe5DC+9nj1SA44fww4PkVHZO2TfIkgF
o5I6JXqdxPLV1zM6ZzXMRVG84bh8JXM2W7sH9edq35MweVTahIdUI2GRGvp3MymfKJ1baxEdhzU8
/Ne+tjea0J4xPwF0bikCoYkcvqqT3TqZ9dKWsHnJRLlzc5rsktySdcJew0xZ2ZdRKeOKfNsu16t8
U7rOycTcgMDMRMyI7/qIY3CWTC+G+5BpG2vyTmWC9NJz0GLHrQNZag9J7wom+PktOHotMFSNRYCZ
vNOFgdTmm5hquIBjwJouq3WRpBtNc/bzwqZvQ/rq9BquKuEK/BX+FZaTg0tYkNbaoLP4qxtQZ3t3
jHZZMb/4Tt9u26IOHG9f2XC6cy2NkLurczfMB79MvgEkpwJSiDVyhL8qk/S+ze1vfo3G0Y1oGrJy
nyKtlYEoQj7EZBIZg7QbEB5YHv05H3eNhGTxg+T59wVV5z7573fc/y1ev6v6z3vu8qrf91wshS6k
bBtOG4Voiznw9z1XfBKCHGqMdAwm7HY/76fYBqE9IZIzWnd+tC/9vJ969CjREMomzcwbS6H7V+6n
lJD/actlt6JjFcc73FfbWrbkX+6nqrTnzJ7C5qLn5gMVPfdGY58w0N5mI1cA7IbxMYLYXAhrj8qD
crvMdsJlytOOXbjSKzRyd8IChMx9R+HDHOATFCuyqQ4cGMEQexmT+XwvSX/ehvO6OPhRbaxKSNv1
MnWapfJo/BqvtIqJVCHTMhiWKZVGqeDaXSZXeW9ooFiG6lpnrOXSGnzl9rM8p8ZnjNao8ETRP20s
A7EGldVbZmROjOo21/IhloiQgHywdtXNoWKyFnrUAzSZYLBqFe8z07ea4zHwdHuvmMtpy4COAD67
LiO72Y6+4WJIVxVUnaBmrifrQyrOYpn1xa81BQl+tFeK28iwgMSqZThIxCOndHHM1sbclJuSGeIw
04E+tvV3KNdH0ZYDvkD+QeBRDg0TyIlWJGSljcZ6zXCSLezFZliplqmlP9nQUhhk1lF9kyyTTavH
qaZGcaHMaJl6dhuxbEFkIwlpR1FzcJcpKWyfO2OZm/oMUEcGqY30ulO4zFYTEYutscxbG7dn8urQ
816GCsP8MpcNs0HgzfLONNwepi5hh4SNlnqSiX3DaHyZ71Zm4QZew8TA8YtxA5oSEPoyEY5a3Qwo
8fvCHpeuFM0OlZ6ikbkPlj+/AlqUuwK2eUsnOOoaZDMDBjQotAWdVO7pGTQChwG1Kfi3zIysfZPq
0SwUUr8prVbeMz/hB9cNKq26zFb9lgA6OBi9dsMD/uor5G9KN+QxzsTXuuqv6thfqPlWuk4G8x0j
wnuPOXHbtCPD3cYL95wfvhV8RKnqNOIgSxC6geDdI7o0p8LTjxRTPJezf5orNHObEkg1aOdqgtjW
6HgD2oiOJpWFw6pumus2nfn49A9xFH6rYtfbS9MfUWaK+3AmTDIa3ZfKdA9ZhRzv2eoIIjTHMegU
W6/hNBHZCJN6fKTzkO7idL7new7nCoJfAP5JbdrIYUtKZuTpWjL/95c/3sj0WXdCZy1C60ujUnwp
c0e5byPlsTE6csma64IQSlCRmxyT3dior5FOq7GM4/omdWx/NZig9CDrQRwpnuhwoiKiJe7X04jS
GChXpVnKTZinDNrRafm0t7jTksU6kDqcD43uoM+efqg8Sv8EgBqH32VVOea0YlmkiqRobpq0RfKp
qPdqq32qORDZmVmnKXHgMtcEnzSLYyOSMJyJ2KUrjOImS6Cq8l80y75J0YlV0z+KMT3ZdXdUJskg
q77v3R4xuil2tGkDRyjCGUexuO7H7jFRuFew9twUVnebRcOTl+HgLeavTWhRRo+BdFWo9MnpjaM1
0mjQNA8tV6RV1ZHV0zEUrvwcWZmSZFev1baY8MAY9XgV1uZtJqd8A+dr4xrl0egg5kxN92HZ3Eoi
cYF6eK315U2VulXg9c23EBYaNTPz1zxuTIwDHkOYtHhpCtfAtYl23hrlg4qt09JVjkGPp6YN/Sl7
MrvU3jOuZCoEtdvYxGqkYJqp+efO9fcWLv7jFk7b93udvOZ/3sSX1/3cxBfCJ7A+vNM2kJYFvff7
Ji6oXOZS7SIif7rZeNXPXRxgH6w+fdlgEQIX8//vKjO3bfjDnguIhwsMwYK/sosTa//DLu6CHwUc
x43ZgNvj+3/IvLgxVbejVk1Xo1lipBGZ7rlXpWuW4YcOSM7WA2Z1LRuQyQhpxhuNFiUZvKYoT46V
3YVGPKw93GH7WrA6Mn0z3iK9aQLlh6+1yO6zMCtupoy7eDU7xtZc+tk5oTRXynE+4hLPaQYVaiVk
w6wE/CUXD5xJ3JxdzC/CPs9dUxw0Se07zms+OcEI2yJI06i+LhEdVsSgz6nTZiffSeS6KYdpW9tU
LLRc81Z5wTWz8EW9cnLhX1v9dERCOnuqDU8QvLJtpnEnY1QLtw9uPpUiHGm2o+/Ga3PpHa7MMQsE
AYV1NebJtvIAdqB0PueOuJTOKI9u3D1wK9PXYWGptUycEtFs0q7r1HkbJBpfRRxhp+z0Y07TF7qU
UCesXhQwTdzwXFrp9FgXLbXWNIxEjakOXZy+t9FsPBus5rczgt62d3IKQGgoSlbTMs+LfMlgXsOE
7Qy6drTKUT/bQO52SWzYq6junHPturceHqn7QuSMvqYHrWQ5U5a0drqnbl0HP40f1hgEdctZsy7Q
JpJx+LJ0tu9xyrSziOF0uVMd28A/ogNFHmZ2asNJtLuo+MTAznXt1JeYv11vZFlyNQGCsVdaJBAL
g5TvxC3f19pLSS0Pw0XD1exD2U7LeLfLE7bdjJrhXvqXpJ84CqrZoyWbpdsMLz6F2UzaMQf0ws/O
hvLXoEvme4aXlAf/vXrpfJzJq3y+ET+I0H+qjfuBIw3qbv7z+rW88uf6ZSyOHIJIGHGBjn72sv5+
CTFIL9Gqzg8DOfyp7v1cv9zf0AM/s562DT7419445zcPjw2EdgGk+zPy9BeEP6hAf1i/cOuwbhG7
Yh3DmvNH4Y8hFzQcz1tmVTg4udjXHClyg2yA/JLUJpGStF4OIjUeT4YVHBXaQ2WLj17pRCqKYjgO
eWuuihiaWat3+wgPHUEq+Iw1e7iSAHU6ck6pm34bwpp29h7rTC9xrVHwKjduYXvIeJN/Ay300a6p
WKoGji52Np8Jaz9iNMDzn3wJU/OhoBXhwhGHecJIbXm3FJjTyJUcixyInYXmllHP5mVEJJgNv9Mm
320jQxseZOXvudCd0nKctvrIUb8Z7yoxoFBQrZBr1XWPqBNZ1c7WG4JbNqqNW98TQGHWP6mrxnbJ
bbXmLtP9mNRT8zZh4lipKOo37jzRRZuEhFyqe8uftuQdbBDP9aqp6+TQ5+6LEDgzh3EgNF3R3D0v
VVOQALux2FP2g54PSWid12Ac7PkujOhbsjXBW9Ml/SlPKFgv7OgaBeLoeyQV0pzS1lb7nqY58/cK
DGiEA3aYhwTHIxkyrc/AG8bkf7qZSrDcu8HMizeqFXD8mNm0rXmH6eRONd8pNvlw+Xbd9JkqIdYS
i+Y17qQVNPRogNJsOSkSTTCXej52ppXK4ezgkKX4YmoWy/Udtlp1UxXiqhrTcaMDDYNLueSKeIZ3
QJgfLGhkSLb+mnLLxxLt8lj1KY4jjCVOFV7rTQlHKsy2YZKfGtVSxqvWba7v8kFu1cgFQtjJF99q
LMiLBi05TRFTZVVt58SlU2n6ik1la8n+xRqm8lCY/R29mTNWyeGdnzxuRjPn1lGJi1RUtlVighDr
mSuaSq/8TgvPvVl/E3UIeKMWBiYNLKqxVribyu18dGXJAVSfwRsSn8HNUF5HvUadWqSaW47yrN3u
hFLLG8QSbTved6/0hmNvmysvdLd1Oe5bkwyGTb+gGdbPvkVDOajSvZWV/AhEIww3+3ogVN/ZvMUe
DnqtiOdHs1RsJgZ2NLN0773KObVies/jKluLzL6jUy86OXO/mYueQSLmLT8lo+9gmodQ9j2dSx9n
k/t9dAmrmQz81nbvU5Ilmlvgm7zF9VXIQWXt1kN5VC6VQ6hr6LrWhnY6iyfc61bEUXgFDXHkdaJp
m4rwIy/DGyCSHSmXVseZ06G9dRZ2pzk/VYbUNzMEt33U4dUHe+qG8jikRrMGYfSc4tzFzN6259jS
QAAPtf2u62H2oHSunmQI8MqKPEa4+3t3+rE7ERP59/LYffzatK//Ymf6NVwi2H58DsPGcrx2l8qh
33cmk2kVkwC0s58mjf/fmSzxm6CwmQ2L7Ulf1LPfT9aUnaKycRJnKMWpB1beXzlZ2+af9DF8InwX
dkgb26rns6n+qo8Zyw8vc1oidNYtjNHYp4Q1PPWug4ReaZdyqZNpgDZnORfXekK3nSKkfVjtWPc8
KJXJFeaQByuTeSBFxXjH5FzbRKzcnrn38m7rtOGmGMV+GPhPxjmrAeo00Kvnxm4DBxzpyoST3IzV
a+zi/Wi7d8rkNgPORJotITCKkmXPenMsqsEmUl5mozCEJEW3T8t6X/v+qaGEVGHBmw206UVpEXZ/
dgz16A799WAA1ZxqK9nFs/Ga18SEdf0rlk9764ZhF5QAtHc1fMjAx526spzmiI2133pheWoNbe+b
tKHF6X3YYw4cTRNuYzneSkGjSuOV28Ep9H3BL3eimwcurTfwwZRc61nfLr6Zf0djKneTAdcwiRiH
aVP4UOeKj3k3rnU5UNbWpFeZNap1EhnZRvZ0m6Mx2oE7qomVz9tgzzjGdivXEd1BrV1rx6KS644j
cowuTq7BPwrQvivXbq/oa32o4m5HhPE2gVK76WZtWk3FgLHL+xAaoWINpWyMITlbnv+cpuIOlA7r
UgjmsCNVGEyO+TAXyXMmq/WQs54nXuZys0rOFFGd0kr/aJrZ2aczzdRG0k2buMGuL0LztmvjL3HK
7x8xusBrrObAIQTQOdzMSmlam6LBdpxm+GWpqY0Y8Sz5lqkVDqcPfo4+NkRtfO4AMv4aTsXdWDMh
U14JrdfsdlEEF6eS7bRqYXuuh5TXkTbk2F1k1g4TEtkIb3Eb8XdvmHqIsQIcXT6LLjm3aXKuEz85
cPT3AtthY7QMqJJ+MxlBoZkINW2JdUVdy9g/g2V0ObJgeYua5JoG2ucqrbhZ5dzWuqRej6SWnIFf
FDAfhK2831dCvzGMhlrMgay4CE911B0aWT52Wr9TjaRxUG0th7pHaqeaIGp6n9TfsFz5uJd5ev91
rpL3BnFQS8cdXbe0sssqX0lnwfDyr5rcG1UNbZD5/b2X5USajhWch/4q1JLtpPtgwOVF2PLG6GEs
2/NF6xxMyVO/I8durjoq7zoVzwi2KKoO5xse0ISAkBaHq4q5pZJ8UwB8ZQCOugC+2MHE0vuPOEPl
pYgVpHO5fFSz5tuI63CgrdRNxw4AcEXcvfPpZ5T2IRaQxOfQKmqyIGay8qQPVFwbOa6OJp2ONERu
fc2jZ700qPWL26MKsxRDqfW9s1tgp3H2nfDNV1Tmt9kdUpCSXE8jc7iZOoRzyiSwa7ZOCyrHIKJj
d9KoT1QatyfWHo5tXokpe6zQ5GXRHmxZpM7W7OBqPzLK87xdbNVi11lYeSE7Sm6R7ljPG69jwLzx
pGaNq6o3TG+PlR/9E5PXnFxrspi6e18vRHs/+LVmnrqxA/dlyzz+Ws+W0V+yttyriMNfSbJpoywK
xZPEjlaVjiJcR3dNaDJ3zcajZcluW2s1FmrNOdnumKwZrNDPnDtvlVINrYgO08bU+pppDhzrnjyV
0GfnaCoe5kzSosr/HdKKrV7K0HqN09pYtx6gfLjXHziZYWjHisyuHCg7xjnHXIEmARpPryYKbMfE
B/pTaleWrG+1sEP/VS99MnzMGrD5EZtpI0aa00ubflJzPMYwB3Uy6b5bviaZIoaPDNwadrwxkYw4
5UJXN9LrsPHPWjpRV2x8zELnu0T2R9YX+FiTtTYfjWkktGvXmzCq77KRpUdfQjPjesxPeexe6VnO
AGBUrzDrDrFp0uZO3WxQJTQX8TBeO+4CC7B9biIahdrsmOvBted1MnZX4A1PGIDCgHeh3LuyYp6r
9HZnWj1ru0Vyzk/cDQlFPkuh9tBmayYeX4y6ITYEYZxoAncqL/MHfjim3yV1bc5ggOeRnmyTGALY
zlFdirGka1oN55KA3crzsGFHwr3QD3vV5W4BfhFBQGKZKhrOZu2r4w/TBvXgfuLmwwmS21nos4HY
KaXFHWV23SC/qFwdUy3jd+zmr13l0wHRORbPwKxgHBga45j2vfH9RxborV7m56yI6XWNzD38o8eq
Z3CfuGPAjPfAfe6Gocmdb6tvCRsd7HX92tLbE/DnMICMEJICEUtSrj5EGhnGqR0ivHQYo+MsO/j2
BMgykkHqGdWusZMhSKyGzoHuhpPIVhotCU384lnF0bpjljB1FpE4veg3uvAqSiRCwDcRX3W5qqyd
DPS5RkerY8TeoeUNpe42v+gYzlae2x47yVWwcvwjtIBHOiL0DXUB2BA7Z6slc7TTBnHKydIF08DZ
mrKX/BQJ48YRzMe1Bh2mlXpxmI0cZS1kPDGZVRikLq00VnKDg/RJ0xU1ANLDY5GELHD2sJ8Lg4+E
7d0YNTRVT2DsdtT4RhztC9S1SyPdNxjKbyPxvLJxvqos+qqi0lm3mF3CovyqK29vIscPnnGCxhuY
BuZOPY+pdx1eoyLfda7x7iMX4T65nYWLLbzV76W1LOKaTZKijv/2gf3wgS1T2v9w7Fb5q1T/4tjN
q34VhOC+w6SBbP4jh/X7sdv4jUg2pDOLVpjFC/0PQZtMN5EtPlkmGo0rlmDXP8bSjLBdHa0Wvuun
Qv4XBCGM0X8UhHCCAcF2yYqRKnc/nWK/jKUtr0hrPkfThVFtfeOmnHUSUbpfVW4Zx2nIsmc0THfr
tb1+xZU7BHPXx1zS+/nJ9Yf2PtZVvgNqkZwcIDYbV2trMi9VvPEq/TpfjBi9KcKzbfv1rTm2vL5H
RF132GOgYnNj1jg0jsZc4fGkCgAIeUZSQpe7VOLx0Cf813XZjC8FU+ajquKZTg7yjlw/J069XsmB
enryjSqIc/N1Cgv32HEH2rZKG04yo1mdQTJzOTrtscXol8zsYGUmGfXzTpWt4sQm1bEMt32zxRCU
zsuamqbv5SSWGKws1pAtoiX99ByPUUj8qQ+SrDwyUfODMZXZwZh95sGWa9xEIsIGPR2Tzqy3Vilv
bQVJH5eYtmudaAYB0ZnHONbdDYPhk4A0fkhay1/rcWztslxam94wQoDsvbdiz8bsXDC8DlV/O9eY
g0pGiitMUPNKs+0N3ciKBdi/Tkkvg9bh3dE6Lb5LhpIK3kSIS0O7znpyh5J++OZICu2FUrIRkg9Z
HuTIdANW/hhH1dwGYc8fjKWuZnyPyS3E7ZZiUJ4W+9uID674NMQt1rh+McmNuOVIrxFc0SPmeouV
DvE+yPDWAdK5hXRkgi4edwbuO+OTtGItljyExgu+rxuFV0+PGpcjc3IocfGNi53PxdcXLgY/Z7H6
kQKJMGBxCHRlcWrwA9qLMbDBIdijPaJQYmPOFvsghquLi58Q7/+ux1+Y4jMs8RvGi/FwXiyIDGxv
pjDdzngTixnrsoNb0bfgBM2Lf5EjWImf0SNCveYmcaKfhq/geSyM+pu5mCB93JCjS08S7shqsUmO
II2ooGA40X56fKoMDSwwTKd7szxoBcyV6ngbqvHsD7LkU1Ek2Vngje7AF7HVlj5t5a6ox3PkGMnh
bw3kUwMRhEf+/WJ89fodwsafF+PlVT8XY4IqAMKQvvEAIYHYv2og+m9M9gjdm6yEFMbwpX+o86yR
vucxY2Sx/lynfy7GxFscgi9oKoCUeUL+EnUM5NYfF2MPwyQ0AtZinXHm8kv8qoFgfpwaoxXRhbK/
rTsVPF/N51y9vjbb/AuP6apkKSP9MB1drqU7WURXuer2uhDAo/oqGHy6KU1yLcrNTyNDxdXsp1cy
7nW6v7RbmUDQapXHfajIn4i9Zasw8bkAJuWb6Eo0fQ+oIYbXXvTPTl58iDTb2EaL2zGKXxw/X2v9
ED3hQtBBXGSnqBjCwA3tfs2vrag+SK4VxeCcSI1nTqOkxhNuMo1pNeuBzo0tG8BHPzTvZm47JN10
Z+MpblNFndyrLL4dI/k668MTLkV6E50IA6WdzMgO9tF2NHvdOYT4Sz9m6XfVN89O32gxumYBcoi6
8U/s6ibbNKW4AWuAch5dqXI+pXDadtQg6usmMW7slLJgaYJVSjBoDF47Bjlj451jEb3om+EtbFK6
ebipUxXj5ds5tiEn6elD3083SQeMw9SZrTZAAc5D4d83BU7EQuD4GeptmlvFWvPnU5z7x7gdT6WK
9cAFtb2y2v4QCdxZkcJ/RI2TWqnO1jhlNh4LjD4/NpmSe59+o02HFyugd8w8MmRNt342fuegTGlR
H4tAl3oEvSf1diYe100ZmWenEofKQgIiHhveThrVjSAj/O0U6Tq+CohFlBU4gexkfKscDeIEZMjE
3aq0epn0ct41kcnwt4yLbRZRqF2W1taVdXWwwn6iPSLEelPN8COku8qj4o3bHeTPRWzONavY5HK5
QBXhS+4OGGso52aHnNZ8U6IcXkItF5ZhHfk6CUW7WcrIj4ZR3XFQj9euAR0sHW0eyM61GQ9Y5r7G
NhkgK7/R1mWuSiIfbHtWDrhJEilCHaLT3oC7OXlXbsH+6Y3Oe132igCJuIaqJQOz5VG2rXRcRz1m
9DKavEBozr2MzZfezSiMAHTG8cHN920zcsOMhnvksOYQxtMbaTXklIKkRhZJb60TRllXBK04lHAp
t3JrrxX2s58a3/RM7VxtBGM/NldaoZW8zx7QuUGu57j6NvnWxB+fEqq1bHznlsNMax0XqoNNTtJO
k81Y02RpDu8YZ76MEZ95g12dKiUs3BMO8Qmw4I07FM9sIpC/PdLRYQMKsLKnpzFy0CzDgb6GhAvk
ADWKVoopyDL1hQL7YTfkJg4ihfmgJgok4sg5YdKqVhiHkDJt+TCr8FI75bkbmRV0Sn4kbXVvmKBD
DO/EIQ0HM5i6Od4ZWXGMNbqxUokXbkoj4t4dFSe1dacrp18Lvu+2GmmQNumWwCJxUG5kwPvmF8ex
1wzWSdf0D4djJAHOZWmyNiospiNu5FdDJ0n2GYmqxnYAp9g7Rzrutt4YjWiiqdu2XyTZWAKgcQlL
KNZqdW8OXfOkxnF4HkODmjZHb/p6byae/RJlyj4SosujmzzKI+58lWa9hOyz4VVqJ9mu8LN23fnh
FxFb1IqMBo9GuFyKeV72lqITgbhwHgw8dxsbNBdJAv25szpa94BziNDZx8681IfAnuNSLlcce2+9
eb6MssPxRW0gtLjiJqcj4LHD0LIpyoTlCZlo00XpR1S7t7Wjq7022NspaZiGYGEMXEZ0pt9+L6b+
qbLVvOVTvPPC+mn2IR2i3tz4VnLqMhoUylJ/FUvtoqIMNh2KOzGIPGjbsNlXuZbwrIWXKdMN5Kks
w2CQjtCBBpEdpDKoaTPlKxhLdBMDIQ5y+jnJ0m+GN7AakHd2ja2EqLSaPYrcLIvPYY50Q8XDA6lf
ggbYUnHTYbmcd0nHrb/3LhETu20/pR+OGZNLaw+hZIbo5slGFBYNPh69L3lfkSYrhvtiphA2Dln9
6qKIttKkDW/CyY4fPdmQLfvM/O3MXhdBMVAvSePrXZLaPgNT9xyW1Y1qdCafAwIgkEcEZgOMkCjW
dqRtKS9pAt+VJD7UjQLJopEbCJTufEm9/i0F37Yb0HmGcqQzb2xPYTl/sSu6KcrkgoxVUITgHMsQ
hxgK3zahAqpsvBedWDo8KxwWjsaUrivEWZoJih/pZIxpXIXce9dHTxeG9e7AJdgOM4ut6bWntGAs
W7iZw/9x3GL/OFqtR9Vfgg8zqd2D75Cc5vKIP45iMi25z8MCYAhNcBX/Wzude6U9ZQv0UociWneq
Zbnpt4WI3lMijzZuTKXx1bD0Pto+/V424lQY8e7v8+SP8yR34f90nqz/FZllyWv9PE6S8jItkB1c
oO3/j3L9frdnpMblHc4rqWTj8wL/8zgJmcUgJM2kTfdt7t0cAn8eJ+G1CYu8GL4MZylD+2uRaMFw
7hdMNbaRpdwW0xuc3SUbbf0h5QVlCiOIBqmJBtanyuS8k0+TXIqlaIKdMcJWzk7wENmTFlCE+VSo
JdXbMQAqfOch9awrU7WHIk03Ve+Fzdp1C+lvkngoH3PlCyZd+m2k4dJuWQh9bNip9s2gpBHNW5h9
fKIQqBgpOdW51DHU29PKmWyKLu1udcktlV65+yFzZlyb08W3c0Rwaa7LmEFGNaqHadKecJU+mhyJ
VrrBmkzW9+Bo0yVOvKNwzfUUN2/1bOIekcMqSvW7MjVQCbUno2/A6JIiozwlu+pL3CxdKD+mGrdt
TLkSntRoTSrS5Gw7XrACvFY5hwUb7swaz9h3yhxn7C30afqjt4n0dgg4yYktvDE3JIdmTYdhVFpA
39NJADcxwTV0Ij7NnRsQYHKDvohLFoT+VPfll1j3nzXLVSsvx8wKKJcynKcsmWcsBvNjW9MZ2Yny
WoQDe4X6MHSxpsP2zu+WE6lZnMuoOIhiesqa7kT8/EOvOZLq2kTnlWliyE1AV2pa1gKqyvZVo5Uo
706gTYpRvaF3gV3G3sWYyimYpyoLgG5RFIlxv/VxoKsUzGShT9qG1i9IJbT3BFjM3+hBPUpTTDuS
NRjcRxFIz2DFMvcMcC5hjhnO1JPpCkNkVTIccrpi19q02a3svDggpgTc3q/akTmVqRhHxrLfWnr4
LYPJkeWjtrKYOqZyfI0cimyXoZDKfYkDATJF3ANGNbVXvY7SgH4p1lYibKLx3zFGelceb+zG05tu
a3Sxc84HE8ClXAw8oXVttIU6CSNa6CR+up7rbg/IYw4aJ7fYhlziPIVAEk5aeHGVc90lHouqdUCN
edJte693xtPQM0ChJlBf054krs3SSM+lZHQYMV8np0YGN+xT5qUj6GLT0sLdJIR+XY4mdBYqzvYJ
qrOP0WEaomORNeFqrIxXXK32GkdmciGaOTDjtcjvFeTFGwwdU5LDKpXfpoY2sT5B8NVI97fZJor5
e6bgji4k6pkoFT9W9x82tpsfoKb/kl1xo7A0Nv/z3/9sCMNbRr7PBMSyxF+45C6pmV+vnKUJ3xq2
h7jkBfTX7zbTzOKHIPFXfoTPbdu08NgJnTLsf/4RUxmNDfMy68LErstupvJB+j+KGP72VC8Sxb/f
o567b/9C8Vhe8/sWRfKJdg1ch+wFAl/uL64P8ZtD3SbkMHSNf/Yj+nzFZ19zdXQNYlHseT+3KO83
H6FD+HxJ4KbGqvgX5GeQZH/aolz0bTY7Hj4ewj8+fnmLXXpUo35pU/WVgbsNN9zUTgY1yRzwRImG
Oqg9FjX/esyoeFY46IK2sY71EjgYJLPIxPIJ7NQYjiwv44A7OLueVEnujeVVPWtB2evAkb030UN5
NIoBwReK1Awf14eTm7glyEJgEV0DV1z6XD3dwXocoOtaZCofqigCMFWWb87gnVRXPtbCKgOL4DHx
zeotX3C9agH3cibdjwvKN4IiJG85Nu4gm1s3mumcQkb0m3bQQw61Gu1XYun5zCtUyfbV7aK3sOD8
bUxYqiK8vQdm1YsTWrsDBZrf+OxPq8KJ/RVdmxR3T667Dvk4keNkp5ThdIMHsebya35vEuc2tqtr
r03wmsXZ18QwH1rll2stNd7LzB434Rw9YiPeJKjPHTP3VTGLfVj53yGcSLoZ433mYyrR06VE9rmQ
0Smd/QeBhXBlz6Q4akN/+D/2zmM5jiTbtr9y7c2jzUN5RAzuJLVEIqGBSRhAgqG1jq9/y1ld3SyW
aKs77hqxjEYkMoS7n3P2Xrt0Ykjw3IQ2xDyb+pyy6eC+T11DVLzTvLgDXKmGLEIqVQb0lrh1U0vn
2B9dI3w0zPvJVj1ME4nj8H3Yz8qDkPmNO0fHfiqCvRk3d2gG6sVoC3xhddZQqFD/S7xjIIRWzpxQ
iWtah+TEMxBBem3aUJcUdbbGcOxePKOctikb1qKX8V5HEIpavP40KqzJ3uwEVw1MMhunDRG5B5Y1
Gd9SmruUaZKudhgb3k0a0vtmOEiDLAE9yZadbHKoDAcKzEuY1VAoUvcyaAVVOLxcgmsLwuOxIjc6
8JXauCkJoF525lzDmkUeqlNhowYi8xFEI+217k2W4VOSJB2iY7zfRkjTQBm0moCLm+Y4092GGUs0
UXMWHxlSwY6R0MHKtavult+skGTkcMRUPrpwIDEribY292jf96XMDmNrE11pXiY9uVgmziQvRVoh
ivhZDP6jnWnNjlQAkuE157FuA+KtdYP6yiAa18XRVFWKICnEXTa1BzFE2yqJ76IoWMsufR1E/cE4
p0Dpj/Zqavobt066Va1EJIXIz7bLxbUt7dCnJkEcgnyADn/NKofTh2L0C6Ync9W003NJDbrodXLE
Gk5xRTuTLk2Sc+LPgkGxgGM7fIRc67XEX7HMJbaqwihfzLw8exyjpFts4tBssCL4X1oxbJwaGo+W
DtWSbn3BPKIjGjqpwGqRXpBP9ldlxR4q5GOZG58qvzaWUZkxRzAMgnabNzeujhmwbT2Zn3Riyvn9
UEArfe/gge/LwZcZ3SqY+4EM3eTsVqo7MIu7xjPfptYrL4EV4vhDMnDQkknbFxmksbyPTn2CWLjT
PsMyuXNlTg0P6NQlz0C1nBx+yoxxYJfRF6l9+GqxqaX7LDOusTDyhWtaKBD0hrlP4SRLUrPoDrlp
D3vAuWD9plM6FOnKD1Nid4PxirMb47ItviCN+2ca1X/3WZva6c/32YeuSLss//z9dEH9u1/3WqYL
SmDJONcgUvG7VvJf5aD4B7JGhsAYlCXFH9vwv8tB5gqMeXVDKqqWwQHt173WYRvWlRYS6DecDrbh
v7HXyp+0/78c9VD/Sx0kCRu3mjf/eNTTe7vONDT8l9kOcX2iOO4LezECz5lZbjY9Neki9tOzVeL0
sU2Ls7C+jcr2EnbanuKOqAMDuSFYW1M/DE35nnTWK4GGyyRvz+OsnwLP2s0hYIVEK6Zl6ASvzZRe
0UUka5ll4Akk6WLhVC38FBTNDPjmmE0pq11Cg9zNWnQoZgh5tnBpsWS3bggZyitYXGdgALWXfDAD
2Ji+zoZXXMraBjHhxS/EByvRmLy4Nu+O0SERJKM3uiD2+yoLnLE26i5Yho5cRn2iU+26p7YlytrP
Hsxp/Jys+QzR8INsxodhosXF4GBbyO4obbUq9fJiF84hbVPsNqH9aGraai7atyGUG7qOPXhRjWws
z721vPqYZkA9h+QmHuJNSVwwQm+U+rHDzqXX2rPHxoF1p4ScEp/CeubNL6ejSUtynwOvwE8165sQ
n+9Gi723EWiW3XcnC4XlTVldRWFusiRaT45+IW1+05nj3aT3izGOEaNSxZp6CHpEe+kt/xkh6EZ2
rOVePzDkTrOPaOoeGbcyHp7ZnzF33kw9l65KqMdHf1w1icyeKmuP1t9tOTHRpDMrp78JBIzVgboX
KvawnLr+PpziNX+ONpFEP9lW+VPHr+EzKsfVS+yzNRRbO2Lvrl1izNFF0b+NMaCS0RILN8XU6rKG
TeZd5CJfG/yvVsVkJJLywSrknYYxcKm18uQRBQOwkKz1sGQgFNXhnQb+wo5b62QXKHDGKn5w/fyL
i7or97MrtpSvVIJPgQdrApshAGe+1K70deotDSwWI9lgiTp2Y1rKA+H4S2BxhANG3Wr2FPQ02QqL
hDXDTNd5NyKcQifq2mDPLQkIQzjlS1Fka09HAhXaXO0qbSISZVAp5CNRJmaD50VD5byYx4n8Sfg1
Zxwjj9WM9a/s3KUlYjbJCBNuNJISknV5t0jr4iiKMT2hHt10bvMSSefEsPKOfmu0dCIvW2r6PG9x
7Hec9+gXeFPOk2kab2Ve3bs9N94eAnA28w2sHlJaNH1l9jYAVveuG/zdYCJy0n1/74B4W9g89Av0
3ptxdtMlNBYLHUGCy3sAuxZX0E61eXoPzLlZ2o0WLFOu6KIlJqLttZVI5BrgI82NNIsu0AC3ADmz
9ZTcaegDQ4VzDOZ3dr/3tpcPwdg/JKkOMMO9ZZNNlsjqrOVg0AMwI+1pcrV80abOOqThH37v/EcV
6DcFSOtsKvicAQH3dTpYjb0uGEstEhdEt6FZn2rkkgrtPIqWw6yLoZ/xynsxR7upbO1lITOs2k5U
LhBuOYupLkhQqug/O0MBaKfVtz7iCTWy5/fpCV0amH4iQdG/GSlstMlOCVq14Hm6qXZXdeKzyXgk
LJlFGCicx7Kubpo0hDOuW5805C+ONmyaGEC/ZtBngHhnbKQeb5jr1SdfR+KQW9xtrvixyvnSKJr7
Zdfmr1aWFptCYw0OItcDoVpb2KiDnY9Cd1fo03slo2LrsTRaCbJfmKBL1CLnuQ0vjQpeocGIyCMy
74c4owdmYc5pBNNO66GcWSsL/V4P4M/jFkTdUjjvAZqPUoYHgy+3GiIGp7boHjU560s/jiqwEeg8
a5uHmrbFay/n17qt7sLGAp6favRZ9E7BhxPmmd196dJ5rxPur6kVK9esYfNgA1kEWf0R1ylLBRDb
0Luw0G2DKswWhtU8wG19Soz2ua4ULSLpnoEViJ1uDPpKCIMeGpGaq8gN7eUUorgtggqei27u6ya+
z6W5nUswzn6ivw4JAlEvjTc20Uh4JxNlXCKGrzaeenkdmsPsvwzR0QrNaw6tj17oE3SAx8jMuDXY
P2VeENeEbqNM9WYnYvmps9Cv9dG77SPJq01jZ6fZyDUdmD/r1Ik6ak1rVXjDifnSXe8ZEA1Sll/o
RvOk30MePoYFYYCwX58dlUogqvZQtTe9RChuM1EOnODWQo28on0abQ1SmpZ2HT3r07xN0zo+wbjR
N0Cnzt7kaMxUumSDrxZyh25SWJQud8vP1kMZHGzanPS0XPRQehF4FTJIE5jRWHwSdRGeh7xdWHC5
Mtt5jjmGbus2wuHVVvN0o4dMUMKG++xMqOcDl5AJ9NeY7JqD387eRcfLdxGzNu+YNlr7HnZ3Woeu
+45cedrOI0ZfjMjVms2D4TShFhlJCUaJXZXkBAlhM4HQgtyXzBmttghOckpWCBW5YDXaLiSDwbIa
hUQQn+YkPv0J7seEHnMKR1KftFVGjoOBDInwB15JUy9WyZh+GSPqUztgHCkokFrfZHkI5Es4Zj3t
tzZeD2iYOCajijLIIuo1GHswiAIudvmBRl23fDVy3mkaeaZMXy5miVY3Yp6zRPT7yOVnFye7ohzj
Q8/RelMCnK4buY3dBkOV6eQb+J6wE0FxrUhChgddDS95C+NoTO9ta1rJ1H7MPKr6KkZjNCf7gUiN
OkqRw+oZWuBxo7flg1NYX1hcb1ukQUuqTIbRzLhwL25Y4PTtYCntr96g/sfA7FCc5xJNmkfQh+PV
0yLxQ0DIXjKt6xHyC+t+umIgSbqWbDC3gEMuJWkNUWG8zw3VQzoMWyeKWZwJG+GQ+1ITPjI6qbMs
Mm2tE0tCRBJ1frzpB+OOSe6RN3fnGIrNQKBJCVUFsXt6HnS2WiJPIp/BGREodqm/DCoTxSYcpTHG
czFi/BsiT4PBAQbeI0oF/ih4JGqZOTrUVn0eg2BTDkayoulKn6Jkj9bkI23u8zyGC5FHHylhLVWi
p9z26YSrp9sh72vX+SjPGYPEpcxYCAl9EXYkVxUxMElhnAZiYTqVDxPYaK/kzLxvyDJSTsS8ClSe
jDagTe9VxgycdaA3lsHMIMMbXzaUXAi2do1Kp6lF/OEMnGFcgmucsjG3Xt0XW1Jkm1NWEVhTEXST
xo7LouQj2PO1rZcNMWdOv+XlslN3th5kqx1k5GRbGRZ7j9MWWrbSjFG79Dju/2t3+0V3q8NV+PNy
7BjlQfP7Wkz9ox9qMTWZ8yxaimr8xl/9UIuhsKAQwm+G5JV669dSTBKMwH8IYiWpCoZKQP+1FFOw
YnqkDpWd7VDjGX+nFHPon/52MOcpwS/zP4xz6McsNbj7QXSLQ0lBAdG7kGhi1o9AS9Msp0OR0SQL
NcCfbtwY0blxE/Ol/AUNCiRUYI1gdAg2tP6OEG2/40Sn72jRrKgZnTsIIDk5NTHSj8Y/DCagQky8
xZxciyx5LhELSD18GwejXdIVvpkkziort6M13lm2pyr8wBgjF4bIDYWvDwnJASfXdlsvj2k9GMm0
GszmPtT9l9IDt34EmzSjjwqzYHxKiBrBWtrNWyrNpCRsgZ8qlwV+4/xsaZPcTSQPRlbkK1bkQNAN
NgUfm9mHQaRLAEJ82crMX+plvmlGhP9FFu+qWNsRftcuxjr/EGYdb1MN8eRssZMH2hfjjMf4jM9l
NZpUDV4KS9JP/Qf8f9cMNb+H7Sier3orH4e+eUZ3tcZxQj/w+/P3376IIG3kz1/Edfo/q6IGzfb7
l1H9wx9eRrZa4GemRWqz4dJ4+NfLiMHUwhwOMoS3imDEf7+NaDUhgwNtMUh1NdWk4V9vo4o8g14K
5A2cAYXs38o1w+X68+vo8nMYxvMi0r3h5/72dawCf8SC34Nms4qnQbGZeiBNmgnx3omb+labFcEp
k8WLbdHwZlSN78OhmHWzmY631udouyd8fnNOGxY0FAFGDnRmlx0GccBmJj92kymWlF37NWLxrgCH
6fUUIjCnYuBTlAIS86kbHmTpPHoAqoIwzDdSWeQc4FU0dwIyGJ19G43PPkoWgPvlPdBBoGBa5O10
EXzJgWGNpjhqWXdTiJDWpOJliTrWcaSzI5fAtFJauZOiayFfP+IQe/Vb49DKsjmGjExEH6SboOLs
2w3s/xJcl6wTbdcqglc9gnoh1+RTFvKTnlW8ahTvqwH85Y3mS24U+aHsUnoGwMGMPrwyYiabNS6/
eHl2SWArEC3rLLWQnszTGE/BmkH3FoMirYJSvqcxcNUivWY+Es/Zzj4h0KxH5up6kZZb9vyvuNfv
gIUHO2Sr7iLr7WCdsFuv4kiT604bL1j6sG4GxlPku7gOfHB4hg4aVUcpn5eDXCDX36b9sDdl+5bR
fVpUZguWleyDebaGoyumJzeNB/d2bIbgVLbjjCrStWrvxBD229yFavrSx+sm7izOywqZoDiPWRQx
rolib1+qCFIzMR71KITkpSRiBk7eGbvt6yycRYmBzeseOpkGN61KNp1FRsgpzq9daRcIz8SdTqrW
wiRrZpETr7ZIRPSkYtdAZJKbairrgxk46pBXolco2pbJf3EbxFiLJCRRjm0PjgZDb4jh33XjThDS
anU5l3jKVn48Ppd29NVBVOBrMcMjrIqLoUZ+5Wjdu4UoEhKN+UoN+6aVbCV64GxRMRbMkuKdIYL7
yoH1MBImqxmIJBWWfMpZekmczUmelb5z1lUUrUsmbTbn34QKqe076hapgmvLhEFDT5atTqatjU2a
E/9dGranicxbsvzeWjJwQxWGWxHNWZGOK0jJHUnLnQYSNyvfeAoygnTD2n/wSdZtY65QaQTWBmwC
GaPk7+YGLUlneIS+TGYF1HIMfAySnEh80OO7G+r4JoAcb/iKXuj0l0G37kwV+JsxnKobfc/JYMkp
4RBgvejkcCxJCg6m9slVycG5fdNbNvqTeWfW2aIUTCSSZnqxOxydcYDwOYk8Y8kyh1ag0jjITwWJ
LiM5FX1Uv9QkGptef05MY09n4Ak9Ll43tjN1stzT0IyWPLBiUWrpXROZH6VJerKjcpRn6WKkZltP
VcYynH0VccJcBRD4Dt9ntIjLLN7nDr7wBrKcSmxWKy6rlF6sE+Kci45unFG1YtP10zUQSPx0Ue0E
l4A16WpO8hx33hdGtDxbjnw0JOIfC0OtqZKkIQ6Fq0ItcTXGXVx+9wax06nKnzaUC6KpigN2pnSX
YYXVVVp1AFJ3KXneujm414X14ahk68Bwz0kfQk8JNG0TN+kdMh78dyoRezKcDyNykrWu0rItUoAn
E7JHFhl0pd1pgwPwW93O/n1czdRMtf6Qq/ztTneiL2Wo3UiVzV00rBFR9IyE5FJ74Q7czLd5BCXZ
gtxahKVYJlmFwiVqbM1bMFPJnrNAc4LzbATU6BIRsaXbR9utHzyFiqsVNG6eizcaS966tHoTOu38
4vdA45y++eC0Xy3nrr61ovQmhEZnQqUbodPpClNH2+2QkleTBBbUlda+QqU7d57WLKSC3MXARlyo
d0KrCehVIDx78AkJmLsHE0YeLqhDCjMvVvC8BHQCv838ghj83FTTU2YP13KIb3keuAgQ+DJIfDT2
BVhKshx6HFSd03eL0Wvvc/h9OqprAc/PEuNjbngLH86fhPdXesyuXf4wKhSgk0qggDZ4QIoVYxEp
ZGAujJbkFwa5UbnD1bqrFV7QyRqWHdmyEil+j4IQQiIER1jG+1kBCrVk2OffkYUKXpgrjCH46wiY
C2jDQkEOEwHZf1Dgw2CMNo5CIf73VPZduajgGX9+KruljH//g/pI/atfj2SG+AcAaJMaiKGUJ9W5
64cjmeU54ECE4aJUVPrEfxZIID8s/goiiMP4R/8eRfdrgeT9A0cNrhr7F1nI36OBwO77+Uhm0YU3
FJQEJD4TTvX3P1RIFvFMuQk+7WKnQ5vskLgBfHWr5MyAioSL5krn69lHWcWalm6HwHvWVLRIBkPA
hrnt+QRKRgRa122J1Lmor7zaSLLEsfMR8mbj3hyb1dzt7Fh7BexEYgOZ2cFFjz1MI1gylmxYHhYt
JjRJI4eFnOavqYVHeeqw21m+++pYfrp22ZE31tCSHJXt6GsHK9Pub6OhNdf0eSP+XhznnoayYZpn
ACty0TnpU651xG/U4jMqm2/DbHwlRw3SZ5eEy9oY7zN3ZDMbrddh0p6x9csFuZMQBbDh9zNbnJym
owZLUKrUZjzsM3404sfRevKH5pvtczrpZ6SRvU7gIypAtNUUWj7oniysq8VcmF9E8mIjHGnkDFuV
BPKh3snYC1e+09aUeMNkERcrxmyBZQLedmlOAx1Ys/Xe9QhXyDoaa3BWeR+ikMyTHUpA1Ttmx2ut
sVwLhhQLTtzjGg9iuhHTlOxNAxodlBUmZlMwtFfmgAg+57S+9oUZb+kCVew8gMiNxgdoorC6YYXX
IMtp7GYVPugZmDHKkmFt1aT6wShI1q06k8FrzfC0+2iHnGG6mkCdF3EXi1VM/llYSPamlJMcgRnR
mbl4vBq8rsH52DvbsWbZz7EzNKsKPMpCC01/qyfdN8Mjea8KK0LSEg7/HFg+eoClGCc91fjE7q1X
IJWjRit21CefnsaxrUMDtM5LHtXas/bE/uB1sOP01jWBlelEazIYnSKmR3AFrdTk/No39tYNq0+o
NN6WVjNS/1pLb525CA5cOUKR/SF/dynKoVhEYucLBXvBTbHIEa4sTL1N6hVOHKBhtZZ/lFMeLAps
TovGVrFrrlYfB1gBx2Do6q0XqkOpcM1t2UrmW3TE8JPYROY41sKawm+6ZpnbBi0ozbg5M7exR6Ze
jTHuQ2BgJJAvAwqfMRShwc/ckO0QjsKg0/HzcyCzeZd+8M4FhxoJwm6YGQuvw9idBVQud4T0Dmf9
GwPSaQdBz7gWHD5XgO8aOImzqI8m+fW1GB8g1AY4rlKb7FZiFou0epo0L1iK2Vc+3aEA1U/Xsm9e
sfk/pwXsFJ9Yo3VIMbbus6JgxugoUlf8pOfFbVw10duE6mdhhEF4mjiq0Rpn35q7K5JJ5mEyVaG/
TrX3OvkZpv1bJ/zNELghJGDt2xC3qskZvZpafEit9GWEtbk1Gw3kS1arRcQ7cyn2HfjFgvdU61SS
ReY+CNe+rfTwUOIQWOR1ceMI6wsigOc+1UZMM+NtO9fu3q3rXTE3983sPVah9GmLQKyvunrdxxOZ
y340bU32xiViWcIysvxIpB4JA+FdgBAYZi+DWWg51dEG8cEkmAN9buzYcw+J419cczhrI9UsMCSX
NyUir4eHbYHelNTG3Is+gE3nbzJp411g9nScrc5krupZB2RNNucwUCCWnX14jc2aJbocMU51C5j5
XlK8bmNQlocg73iVYRSsk2lwVbJVu5wY4G7KkTXJL4bgmpEhumh4Xa6denlm4ftMjvjQtoThEWNC
3AoUY3cp9rGVazQ989G62zYxQB/NHr1taelMWWIOzLECDArfmbZjxxza56S8ouFqrb2ZNqus7W/N
FMyrxJr3JONeRI6ox4xPNgC+tTkIA98cozxTlP4msRRF1bHBzwFvWFmAiHcGZS+hh0TWhWT7+QTs
bA1zZKnnLLQLM95aYxgKFFoMIGQIvWYqWaVE5dO7B512teuejM+euJQOLBAhnPiFCUkeOOW2KMoy
UjBYprr/HnX+mcRDs+bPjzrnIm8/68/p9/0ng3/3w2HH0JXOlbQb1Ur6sRms/4OzDucPKUmw/R6T
++9usIecB+svvSeOM/9qPn1vBaN/9Tii/NJA/huqHA5OP590MPgonrHLYUxBHeib/XjSycrUKiY1
nMnMud+UtI9WhXBeHTqVhdM940l6TOYrfQfmhfraoK/ZtcGjrxqdk2p5lvQ+K3qg8kQB+sUcksdM
NUgZ4sXbiZ4pEL6WIThMWrqpIsixMnTFxgaCCNSHlitdmDciZMoPXbVjTdWYjVWLdqbkH6Ja7kDl
HPKBrSM2w+fMLk5AHV9nrWWu4dZMfKr3KU6u5G6911J/GXswVrIdzwzvCka4SbEqKxUnjbXERrv2
PAn3LcJydcxL3V/rAwpRUcaPSZe+CeL29vjy9z7b6oYA3t1cGW99k914NNYm6dx79TZhP6k8csdI
qnnswujVjTRg9sVzU2vBwTHKlddYyyzvb3RaSgjkb8YpurE6cjonpeaMwq8FmiYSTfFCyuHGA1aP
IsPYW1Rk9JnDqVgaxn1QnWtmgG3yijSzWvArbhVsbNGCOmQXgP6PxR+JoeE++pa/KOym2fXSy4kF
ZOP0tZPMimFXtAzF/KhbD0V8B8zlhPNvhr4VYrhJ011VpF9rDaBjazTlIqzFtmaUx97W3RK4w0ya
+bwgI3Yb5uZnG0UWach8Xopj1YZr5zn1BymZ0aoR8hS6M0Lk+J14UE+ZaU9DG13S0rvJSmslY85E
WDdPQ6AIGhR6NicizmqSnRY3aq5UWQiXxyXxPTqCLAtgqwOWOopImWGAy8MWsR20GUbE1nm3Sw14
Dx6KrjGWPl4Uhq7TdXAkSl0dWmhlfpmMmCy6Kr7L9Sxehdw5WkqPyLkXVZbWawEM8FRp+j51i3MZ
j29YhZ7CpvkoKxc/xEDi3iwlJmlOcsxcERokcbsn9KZY9VXyDPtMmRRJ8ovC7Oo3lgl0dNxBxio2
dUA/Z544tScFx86IrdNxv3E/jkxYLxZkhgTdiq2nYpkhSih7dMJTat7Hc/6WAjJp9YFgRwPlcZsf
GIGfREbsQdbRUBLl3u3dj7gJ9l4YYBpHICpddGNNdF92Ghh8uRe5EgBbnwC794kILprI3/ImfZQJ
zbZ0Hk6WyWGnK85dj2enTIg1ZoQ9+lDtIJ3l87ArvWKv19bGnqxdFZALYgn6r5N5LNPhODTiVoRW
uulmkqiC9mVw0KE01ryJaujRHZqJaXYOpETf2VF5TKIe/CidmynNOgK2jYsl6nNQOhcOql+aaKKL
HRj3TdE8B+yUkMrPXWitwmC6y0UqFgkvfZKGUIOi5yBxtnZQABmM3D0W4q3sAZxGTns2OUkwbjev
ZDvu0UdeM633icsAy9LVe3K1X8Q4pEtXpOnKM7q7IbRPXY3CZ3Y42uZz9tK15s7p6BESAGmMyPY7
Nz8Te/02u9520OjgeMMmjfrXHEdPY4tvcxOgx4hgfDT+SyR0G8/pDCHtzoiwQafukBLPW9isfaNp
HvCpz+tapkcvQE/nJXuGWvROwQiGYXix+vToBxPypyI4D0DjmLDnHz29lYVWpzea8LZV4d0QBIHQ
ZBg3WSV0uLf6E+lmp1G3ns1Ew78V38/qFsJf/igBbxdEpeD0OeqB9jyK/oLk8kYk2F+lg1d9Gt4N
dDcokIOI9wRkesu9qHV7k3cBgms3eyspGicvQ4sX1Uy6421CG3vVSP0J2NCh4pAUhvjcOVQhWNGX
hvXgBIgDovkjTp170M3BKberci8C/67M8rOmnHg+4UzWbL/ppdw6ho8IGXkggYYWWZCjsVPJ24YR
fCacnRZOXojj5EwnnYnoRteJdAGPuAXVgsYzDculMaIrkoHYNVn30gzRfZUDcu6CB79udqhZgsU4
uE85Uwe+80Mwpc8tCaP70bpF+b6KBSLmWIljsnFrW8VlaIOHSMCvdWW/09J5284uZacE7K7v6sDj
0ugXDQT/IqSL2XfGPTNHOEIo/FdujSqp1+mKmfLcpOz367Shk73uhip6srOoZfGHCm3kRE5nbtpv
wkpSWFIYRG7P2zkDW4TILxWUmsyRXT1OWyfIvVtXQaszha+eNRq+hkJaB31P6nWXfTAyQRaGfIId
xl6EWGdWpZHSdQ5IMGl3TDMi4HJY2Ire6w9xSkldadO3nIQcm7d4kdBAX5oKui1RBK7tNH2GsWNA
PgLN7YRuvtFDstIh8clsWWfBaUBEcslxzL/EuoMGEs2DhmpwsK8Nea0HRAiluRhSy4W7jf96XQ4z
XBtdOw1mfejL6JZkzI01xqRpzE9Z5d8FVX3sKoJvHVrrRup2a8YCL/5gx0sVmFnrTbPoE5wGFjpe
s20/+rhD+u++Wr557oeJTSZCyNhvWp9Ds9k8lEJMK9cJ31lZnxjZ7vwhvAh7/ITqfcQfj56ejHce
pILZGQPu2T46UXaGCG0upZOhv002Wpkd+o4tGv6wu5K1T1agjVysuCMFliolm/dlIE/2GO30Glp3
AgzaG+j9iIRigLGRjM2rN2T3LW7WviBUlOC6hxzK9BLw61FEw16gHkQ/sOQotDXGak8IyFZLwn3g
VEfgGwhoTdBv+qE22WlNd5O45Rc/niEvBdfR56RAAho8qHBdo5azq/Yzg9epkW1HBuF6HLtj56Vf
mP5TsHs5+ULRXQ0VFt7P0iPHYGFmkARGcd+o3O4WRt1yUnUZkPMZhSdRnitPOS87r9m0MemDnfHS
uxZqTH3cEFO/NB1t4miB/ylnHDmlyUtq4lTSgT0id1l7CbHsVEp7jYhhz/O3cKFvRW+QiNzqD9NA
mk1cPhe6FCszY4Cg9dFXvy5Iv4mHbt2G5s1gixs/MN9QWMp1RD6rBVkvBlzqRcLbBIF/JJLgs5zs
m7bUVUBL2oK65WEJisGGrEJgajiV+tqfpHspcMXkFo3f1CVAoRVXwpBPJK0rWIK5aRqykH07JAup
EfSVJvlqD/F077HSrHCLnkakQCttKJ5He76Wmnw1jNhHtlu9iJ7ji5DdJml6uL8N39r19Z2nlp7K
DRZ9wRggqBkE2WVyLpmZJPimLhq0zhJp5MqQzUicREZ0wkhW+gTP1uL/gNGv9L66D6Kx3NI92qPo
pPnXdqeZsnVR2tbLqPOixcIlh3f0mE5N1o2eRDcJ6ZJWbJHOE87NqfTplESj+QwaNDgMjFq8Jn0V
ETBa9bpLbNILjwbUJql789UNadaX1lUfxujkmWQR6uU+KMWDAWdiLmyGAwP0WVGsRJacqkDQ48db
FNjZNyTiKWu5sQ5M9yFpyTuC3pH0knPmoNpw7cukV3feCJUyL52bWA9uMidmhmNNR3ysT1XqvVqj
eeeyDh9tE754hzN3Y7TW65x5e69B949VON/mPT9Yq/RNoUc0Bpk672C40nHKS3bHwMqEeT/qsUEZ
Udca8qp0sgxypUyprQ098ulk/FDx/WcHq0VRp7IWoOTpyAjwJv+2gDIiIUbDyKNLXGJEzs8NPVvP
uv/rD1E22F/Ms/uv//v/VDSD+hCpw2wylftRVXE/9KMTf6xNrWkiELikq5wFLTLNemiHh7/+GCrR
33+MIwFRCdtCuvuTG9enZ0oVIDi4G9+G4lEzD3/75+NAwYSLF5fL9fO1aryJ6bvM0ks+8KDtXB97
6b+q7z+4F3/w+zuIO7lCXCib7vZvL1Pg5IRv2VV2YRSb2bf2P32+f2olVkqM392GH67PT/fakglR
ByylFyuDnL9M9E3trCzi3j+xp/z1V/mDj2LSIcE0WMQH2d5PtyJ1AzETJZdcRLzDnd4yloVrZTE8
WAL6+evPUr/2T1/rN7dFCVR+eLqEHmU9Dsf0UiJhQmxK3dWuWFOnfvPXH/RHX+rH+//Tl8odQs47
95cPQoacY6EIN+wjaisu/8Ozpn7pn7+Uh+8dpxHcNMNQIrgfvpRpIwlh480vjbnx0/d+XNv+l7/+
On/0uP3wET8/bnNDtmlgi/ySu++x/2pp/4fHWYEzSI9Cp2N/79388BXiKgUFDaX8grbDM4FfTf+H
xcvV4ZxhAeO1kYbx24uEF4DzvdTJ13PeB+emg7Ak2v+wdv3RTechdmzbUui7n31fXpihkXPn7FJz
8JuWEKp0+9pjQylXGJz++o78wWchyWJ0pzNB1Ok//fb7hL5Lky22c4KOOJOsIxym/5+981pu3Eq7
6KvMC8CFcA7CLTMlkqJyuEFJLQk5Zzz9v057xlb32J5y/be+GFfZPWyKFIDzhb3XntYQaAtqrJvv
b/WP5s7k8fDbQ/e/kohOH/3rO9fxR97SyKrT6d+DUl71ZeDJnpjrSkA7VIq7H7a7JmI3lHUo6lDA
8gT4z8CTFS7cQ5R6pgl9kJf/PvNEi6cjtmMb6yLfY7b6N0aeSF1/eDIoLo3D4cauGH8Qb/jzyNPv
IsRF7DWuovxsTQ4p2j6999h69+NssjicCBr1zPzgzumNO4m3idTCpYM3AjQIywOoWfrCaT2iLr0r
S+fZNWr2mxcmx7TzHua5ureG/LPrgk2l2ayBPec5LbMSP7WNNmeYt7qZHQqWnKQ39x6qPWpdHWB0
ymHASDB5sAN7xjtjE7PmVwwDAQMQ6vCUpCT+TvMbRjLGfOC5h6q7T6L2zLbvFFF1bnXPvc3YOhfY
zE7ENFwUQ48DSWsuDZemaYSBko0FnxnVGqk05KPtOzfcUHr4C26aTR5qjx1rMA8DlFQmdDdAPBjy
oHYcf+3njbGeSYDFqLOpXEUFx8RmCOMdN8kVMav2glSi6XYm1SLqURUZZbOcqxGXQGxFZJgLVEm5
Fq89TT5ncwKijVg1+HF6euEUkbeqBvzc2uhvsU+DIh/UpJN4A29i7zR4M+vG7taeCE2ca/mAVQCY
TBDVgjK9U6k4ncRLtxjZC833xjBQ6PVYMsMVvZGuAmnbvmYWi2ikXoRBKlZ+wQwSdviBbn+NjGqr
p+NuHnrUfE0QLOIg2I666JfO7GMZlca9cAgPwiX9UcYS81fjLfp2fpkFGxa74cIJ/e6+ZZsVpR+1
j5FAoEaUoiFYFSN4DVPRjvMd0CJtHSYseAwH6aIO9ythtAaX93ES9kVWMuvMJMYrQ1b3SOJugkzc
GNgbh3LYd+a4Zcfm7yLpk6AR+TsCeIplUFmXmHWMhaeVzn7SMNjNmfug9bW7sCttM3jmVo/A+gLk
oz0Z9rOHigD8sb0QQb7yehZmfVVuoyh0FuQGnnPTJy1AbhqNXW5ddw8zc4FUmp+FpTbZMX2PyyDe
T+4nJ3xmHXsewyRCqe3ukpzQzVqR7YtwxzgPzC7zrHxsL7KOhEyk1k89wRX0+K8ty2hopJdeHK2M
qHwmAqVd+RaDOsi6zCrr9K4T9X3IMUtyEa4S3UkuE3iH5YyetHWeK482uO7sY106NzMUY/R6uJm0
ccvKf5l13Yt0gxuQUBvHyK8spHNjqaPus2fzAJMNzoCdH+aEUCMr2CT5e6JSLegv1s3gb4toUP4u
wBGgGc4R8BxXRx7lKbhEC2WCpMNx6dvma6YAFFJP2qUOk4L8FLAP/XRnK1zFWKQkhtTOXQ7JAiT1
8+yGRyI/ry1T25JSD74P9oWvklM8lJo2W2CmOlyA/l0as0/24WbIGHh/1Bt3XMZPBFmR6uIXpzay
rzH+v3v4O9exNpwLnwFU1hgqUMl0oF3kcpEqbIfbMt2ReJjIdfRuEly2qjGu9n4f6usM0PQmt723
ERZIAhPEV3AQ3yGSufkODJkqGNaxvCzdRpxnqCKAneCLgGyOb8vc+OZP0PaCZL6fi+JgzcGbwcyi
S7tpl/metm4T8xS2pNc0ZdhsppSBEm7jj6J05nXnhAlb2JIcx7Yi47xF8G97DgkkMq2XvqgPs+EQ
PWOAtDb2Ydje1My9FvoAZ2IWpxGRZpHxKSNyysoW6ZmcNbGagmAVh1nHPFj8WpP/c+QLiuM/P/KR
f7Pl/O8jX73qtyPf+EXwqAduTCSo/G5r+SLo8ogJAQRnGAoB9Lugy/J+4Zg30FhRpDPqUfid/wi6
SEYHLKGrUsEgzfDvOV4oMf7gzKcqlKZS++NK/anF6U2SGyrNm66kzURL19J83Qi9SVgwkDON9hoI
LIeBZA4mfQAfw4AePZNbYCJsNxTdJwp1eRgV8aePMbZ13Oskt+sw7axmYxqthwQUVtDIg/TaFKyH
bNFqAAYCiYygePIUDUMDi5FXSIuMcL7OIshjvmJnaGVPZB44DRzR/TJXhA02JMmSwGv8lS448w7S
J8t78zpRbI4+4xTOfLnWFbdDUwQPwi2aPcqh3AVcDOEjAvWB0+BjAP1RcMaVigVS67a2jxUfJPBY
4s2KGaJ39gv19I2naCI+WBG4gcNKABppFHHEBz2iC74axSIZg/5aB06SwSHygJUgeXvBFbRF/csP
Ow8mkLb4ICTnTwfqZC7d91mxT9BfkY0Mjm5SXBRWvNVS61B9hzayHOApiaKoSHAqPsJiR6uOOZiV
OMoqZsKQV1ix1etBTm9zZJ6MqOZf3PIm4hBf6rFVuefGcrVpi/JlUmnzOHB0lFdVjSfYAExUFlsT
mq3uDXg328vO8DbMbD9m143W0ukZP0lIpLXD8dhMbIM6LIciixl3u0O58wKvWAymeGS1dew0JHaV
KNf9aMpVM334jr02TUwZph+80mx+dk5QrJxE5qtWzCRc6m16dFPz7NfgfRwbRX4Zl8RVza9uhXzQ
INmL6IDCXtZ4zFXI0b4324c4Lq47PcMDYaMDxxSwmSt8xlkNXBthrWFfj0PwiILfY3fRXAZ1m656
jQwS1+ZydRviA6MkaFc4bPWdk+bRusgaNrCBj9m28h5KPz4nWVDhAIEONbj1aqqYQ7YyesXGHizb
vnh1RuJnmpH9QaP5eHHbQqzQQiYgn5l4ZGZHcLYBSmIUgSCuMrh1fIdrCizAzsyyYwvrYNnliOl9
1mmLqGLRhjTiMtWGa1Tez7lj+UALMnYO7KUz29yhEqUMCTxItjheU80k+Ss02B7pCJZLo1XyZLQs
6XhVjNqeRBj2JEPyDZ7jY5yhVp+Gc6yofmTPfvCQOtVmkC3qwT31jJLXsctexW/y/uBNzdkqrXdk
BuSzlSFwiultiL3TaOa3TLNj6q/5OaVqXDSaDDagkoFpqEyc1refm6K6NoMQHFScfMRzX+0m09/O
3QAOMdVsNqGKiBMAFA+DgZs6StdamTzmDI+NWvllevGK0/Mltzvq+7ZgmFsgoYoK6wh45CGuNRZ2
/YXrZTpxo3Jth+WFj4xv2RUdWaFgU2JPe24rlkNxcQA5lS4Gp6H4DJyndkYqnQSWt+tLx1s1GUyJ
weDCqxpPXJlJ4Wq4Vufo/Z9OmP6VRpGj6s+PxTsArbTA/30uqpf9di4SssIxxhCHZvgnobP1i/31
vPx3HywISkQT7TgY0xjLeC5Tp/8cih5qIUfXXU5TSRft/C36naPzc30ZkfH5hOTwRZOE0ghwhVTz
rS/zJbbVo11VTXbOjVKIY2N27CanLuLgW6C4RaY/jj1tQ+qU36o+e5kLcNyjlt+CJuBudt4mFvDr
ssMbxmKjKiNwGorO3AnnpLcGT/m4o3ct2en6hddDSZ7CjVnaHVaI4KRpPjTQHjhO7BdXzdS+ayp6
Q3rDuyi1Yh1i5+xYTpCfGF2OWJ0WjHaOWlmda72QqyK0ZkpLAODoN7GpTfU7NDQIcV2tVuebOUto
6Uz3TRth2gytsXDGYOc47SmfE3wzidJqV8MzFPv7tJ3SZZwYt5ZsnwKXLFn4BgD0LMu+CqJJuTK8
lgYzqaGPBK8OAtktXQmPWmJlEAFcFSrdiLSpW13lHYVddD2a+kWmyw/RZlvIFK8N/GwiVpNlTYkx
Ep1U44zQDW+X6fVTRxJJMSr5hQpbInTJi9+sgTULOUzEXn2rzeaqnqNHSU5TQmbOyrQwl7vSPmv8
sAAzhl0WwmGPW+Aes8boYUqiW5SJp67UTvP3UCidVm5SQVGS3f4+NpoK2wQL3EEXZ03CQuI8QiOl
gY8lBO4yDgm+jFUQVRWkYFY7fe2SUWU32oU5VDDvSK9yCwgJupddlZPwyFar2JaXubklUmvrqvir
OupCJBWpu02csGbhzhFl9z6jWBWdZaT8qTOZrNaHB590rTTqzrbeXemgxZea5lXbmnxBtisuHQZR
N4TSMKYhrksMM09SErwyjbO7NkGgUpj6y6HoL5ktnUIV/DW2YEC0+sbu5XkgGSyIiQizzXgryAzL
WrHzjBEUymzft6hW9Sx4IBD4gxglbZnMJq17B5Cqrwgjc7v5CYYHWXkmD2OnfNQ6FNtpM9xrHlFm
vJSQZBVvZqmcM82c0F0w+TEMmHwNe4KoKI9i8q4SgQqtnUYyfghQ68Z+WI8uLCkY+wH3Su2Sfxwh
aFKznRZ0UmLV42vrEyaAONVfWTVZbVYSP3YJTpno3mohFbgq1Y17bSUEOW9u67TbvCFiB0l9uRsN
02e4joiiHIi6g4iRxchVZ6I4MBKGBA5X88ohWC7KKWlpnGFUWSp1jvg5nxi6ZKxgVlr6rUDCMn0m
ugLcBfVN4TRrMD7oqkJn7eJapYr/1FXgXemIz3rWnz2S8PQhPZVY8ZT1doFMJFzbOO4WUwbRpWte
U8EsIZr2bjFfCJbVy9qAqMK1RzQaErranT7Npn4JtO5yKNrrtNSUqC/ZoJpeQWA8YmUbl4aK9pMq
5C/uwP51KvivbtvPUiO9JB0HFS3uvEZV/cJEkgMd1s3CVBGCCEPsixYFL1p1zWWvLZ546lY4LWr0
BqQQtvhQFrj7I7gw7iUb4nEbNF23Cef+AvwH0hHyDO1wfI1VwCEySLFpqyalPILe24hqZ2cwIvDq
LdtwvG2Bg6nApnU6orerEoRDeS5rbrqCW8K1j2kdEfI4+qciRQchOn9k5BjcYpu4Kkrv1vPFzhrJ
kbAJklQpPvCciIcOjGoDYyJ9qpGAof3rD5rumMSXqhtbxo9gcWGB9ANANW8A2WmGb2NeYAMRMPOH
/IIH+s0kCmI79QwCl9ldlwL/QASHtyeVdwurhTCWxhLI1Is7Bo8XoQ+yKKnSQxP215HEvWXGjIQQ
XiycojbWeZDy2r6/lXbs7ua8e2vQ0C28ssYsk5shQ7BKA1KqfSJ+4LwI62jrekTDTMWbbXFvV6kD
pyqDL5MC7AA4NecnHUH4oi6qJ8PFoN+6QHGyicEi8iayRoDbMaMxMZnmOmkfOmjltnjrvOiRjCT4
Sn6+mUgXWxj8yimFqKIHy2KIM+rBBu4d3yn6pb1lDRT7AvlaKJDEFJK0K9Hfh1NyPXAmLtsYH28E
3ADokQRLpU1cbq4DTSTmv9G40WRp84DwOz5OmlXQ2mEKDfSBoNnEvpct4br59C4LeY6D8mNUtuBG
xE82EaxIJlBh2F1+QKtbnVBHHjn/8fg5+U43jH2blvVSTGa3Tly9eIIWnu4bNWg2ufGRgj9qk7hi
Xv8+VOkG3cY9h71+CR2N+ZLr7ZsouHKi6s6bkx1r5GGBZG9cpFSUi0kMO58AcSfHy1r0Avx1reJ0
HOdbBGJ8ldUkD1Tk2Gymwr0x/KxaS4RDaOYIti/LDJVP2vl7vZ5ebY2LoQ17cwMl+27McYW4vnYR
BcFrjUM3SFhaj3G5LaqC1zvlmbALA0eFHqw1Q35DhEnsaRs9Cx2LR1zZZ1rTh0LYW79Ug9nA+oz1
weEZa8DSMmsi3sYcYaCTUpjbdPI6OuZ1HtMoGNHElG82nm3goB7kqvVc8outNZ7a4UQLFztkndta
/Apo4phEqAjbyI+XVV9eRj2zJ9HW2wkxHahBVXnryS4OSOqJXMhhemsCiDdVtAOomjUB1e9hAHQO
tUe96Q1LhxvR94iop2WBI5+nqv2YuQEuw8CXy6zS7sJ6uCetGVd45C2LIT10jSEXQUf7E9BerEwR
3raMAtd+2u67ABtPpnv3BKaeg3TwllbTKlK7hjeIVMml1bebMdBSmEX5XqNy4oaM9eVgomUlCGQ0
Oc/5tjhCoFnY+sBIPvoYmGRrpf1p69qdhjRn5WQohRMv+XRU4r2Zmt/6qb70OMnRBMlvDWYl1gXg
RAPjgoANhsYzHNnRTh6DDD4uZmlz6Xb2EsTVJvDfkKUcKAwY3AutWBhdfFHKmlTYLo5PZlTs/QrQ
mOsmz4EmAfsN8Z1RYyRFw3rjAP9fmEhehTc8jtRc2Bxmxr1lka+r1gqWkyQgLUsqPo5ACucONXku
hWC8Wpxdd8Ks6lRMBobhE9UGc+jBGdc44Dd63z2V2PbxbxvXaYCkm2vhaNkRgB8Z14suKW/JdZVL
yUSK8nLkOV3nR+DGOeEZTHbd9lucESCD8OSxGmkBs06/n9PoYpzSO1Ow9hgaHqmO/tarNGR3gJKH
WnlYQfc8lE29yfXRZb3UtDwO9YKrNv7wqI3hzeN6HvOPOasvZlAni6Ce92hKngAnrVonvi97tgIN
VZ6T8OgDYdUtQw8bUJFG/JCds9XH+tMOKemcYny2Mmo+fK2wGOOnzsn3Pm6XMMlffTd5i9sOlHt1
gSDRWAXZiNSLYT0Gnt1UOTdjCPVAEk3nV8Xt2Hi7UrB6lrSNeoxfyEKGbYCns8J1iP0QM92hHos9
C7VlKlF3XTSxAacocMzkOs1n+2kqIts9VZrs+Q+yLfvVhMG9Q7/967b/n9Gs4o78eQ96+5r/69BF
zb+u3sjq+QMOinr5f3pRALF4RtijeiQD01fS7n2Z0QJH0QGkQ/BRrtvf17L4TTxeQ5touXjGvC/t
qPjF9UCkEAbKZvH7nvdv7GVVs/m7XoNmlBGwyz8Y0HKk4eP9sRmtObIaGuPgCqXaojEvIxH+D3GA
sH9seJWMyiUUhXQTSgIH6oqSD3xpeDPoBl6ZTuMJKfk+DztvQ3MR1xsnG4+jhbNupc7B7awoG7ZW
1mDLaGhvTfwiDBNbzz4yJ/SafR741bGrSdtiy8SJfVQ5J+NaNNhMsJMYLDfYnoCMHPRyl4RZtkaK
BoVxrOYtB6q5Hgzb2NahqNZNMcRbyy6xVPb2OXbyYFsmGVlyRVBvIy0gtymoi1jb5hlyoNu8nsPP
jF3mxvpVzOZix1x7v4rcvJR/W9PLZ8REfFfCMSJEFQdKrrpu8Z/VUTUD+OO00cbwySqNy3AMITPS
uyx4+O+tvtqiBDoMnU273GqnLuwfZGLdVV5zWyNRDvL+wYZdBsCz4kEbiQMP8nUgqgNS8L0RBAnO
gS5aBaN9Cc1u4epwpvugYP1Iba8zXpiL6YIwvOcyjpHJp46igldXdWTHOy8PaYr0t9BOpsuwtJyl
8IGmuamBLZIx+URS4FTY2Bs9etlAQFJsx1FucWrPl6RGXfYg0UYSoloNoH6WynoVWTO1ZrmuhuiY
DdJa+xbWkiAsyYyt9z4xJ6GsUsJeGdgGWrKvSSUj6t7Y583I6DjMbou6vQwt/HPUe/a3qQc5N9Gv
LnXT3ozEfC1GI1oL0eITdPNV1vv7sayOg8DMZMQhX2vrLqmkaZSDWCpOH4SakTivhvKf4tbDFO3D
O9Cn9lhBDVwGHoaFBO13keofwu7eDeTf2zq1Mzi9mcbTP5HRdZkzBDBGEUmk0MwRHUO78JLY2Dau
/o1Caz/b2qk1nPs21LYpNTtMFFLHE1fBkw8sh6/7nE1cjDm79tdKXJnZQ7LDtLB1h9ZcVRZfPGi9
XaP3j4baZJZQ6B3Pe5nt/kisOKSberyQqX6e+Ut7Iz9mijQjCJUvtVezMT4Iu98XYj5YvrbznIfR
fync+QLltLuRcbCuHQmW1uDwG996VqpdS2KVQFYqzekc+JxelklyFb3wMxvVZwuRwqoejAO8CJLI
xVUV7qZMgOadMYxKxuNOqN25Y3MviFAbA3wOMgzOoi/Juo4mvKM9zpoi2bMbAqreGw+lFt65bnav
lcVizqG3B+Une4KLytMuxlHHmB7bF1XsbVObChOf8AqcabcXnWhvxBBf8PkuZay/wERFmWulEaxo
vD2mVcanTIzJbtQy87lAiPzUuEVEUz1NPnMHP7kZfadhtAZhSABkYo/fhqtKU46EFI9m2GKXqUxN
Xw3cFoceZM6pEzMmp7TufWZiDNC4w7D1FovKaxn6V777BqIlWIXSftAa0173jX3yQ6JfARGQuCm8
houZngemZ3oJ9xaYjClvWl2vYSwPFTmFBKEZRnyJVv02KxOsKENRLvqyYTHuCZoU7EmM2gDjUCuO
lDku5pijX4Z82TMwSjLP3kQA59GGQcQt5/E7knd6QDpeE0/JNpiCQ5wBxZkS/xp98Fs3esz9kHnE
qG18Tb9llf5sWeVL0yXruYh3fdx+OvVwlco5pqQkmgBlwLMZ04HbzksxaXRfDYwlg5mEP8RUiA3L
Lyr7Q+PL1TSBvQbtG1fme2a347ZEyh3n/TNgJrweLe6tqHtpWrEpa37NCfkXvvNo5M2D7PJHaRSg
ksb4dkynQ+4Nu7YyuMGH+DEIp300cIuO47H3s22QAZyFcnTTtvMVm4znMZSnIhZLV/SPg8riHdBC
O1grewHzZyRzgt/GOreTF+rwBrCmzTxKQhFIqWVbN9oHzUh1ZeXFMpb2LXGNfIOpkSCdce5Qq1y0
4KOWTaQ/cxJcVj47RA0dE66bdlfEwaOkjCMjtN7JjHgpsKBax6gk59NnoXPAmLerk+ACxPGzRzXm
z8WydBO4MSg3KNfB9mXsdpJXjVUB6PBdh2NsUXX+q94mF3zXq4jGD3WUx8hmum4oY0E2NRexru1q
ab/4ONR6SlTiRm9JuVqRXDZvGggJgHTCsy7GT3ZzEodY/qKL2FqYc3SEZ7at/Oouy1ts03mx6wO2
KixAlO+HHFXTxKsVvdg+mOqaBsw0i3aTZzq9oxDDmaCYcOFiuqM3rp9yPSTvXnevWPext8ur6rIx
HDZagFo3ICq+wScnVFsPtKehtLleZqVzxYy9sGDovI9wahl4ZSG4mck8kpzqf36pz86/FjR/EXik
lNzC8szvk3+Vd/STQtFIpEHGg6+d4hjTz0PivQm5/f+9xU9j/Ymr2E463kKHXWw7V115Ncbnv34P
pdT9vVr7LkjnY9hKRcdIQlo/fQzT7KZs8JgrMOTj4Xg1t5gk7mDT//XbKJHuz2+DEp2tPeJURHtK
yvelYAuKGJNx0gdXHf65Kg4pDLkPq/tOnJVR1G7YAcp/WolfJZo6v8Q/byVWH+m/TlQzH/+90FIv
/E8TYVq/SNA7Oin2sBFRp39pIsQvpofIAsM6FzlqkN+aCGEi4KR5YAyMlll54H/baal1l6s7DreE
bUliDP8W2vRH0bdELY9MWqn/gZuyTf6+8fpyvbQ+w7h0zs1zXow7PYkOTsAsr5/WX76ZP7iJTRcx
6tcLE/4jLgz0HYblcTczEfjxwtQCPZEERAxnKe1k3wa6K9Zy7mirGYkVAO05LRxtxYL3ypu6Q5WU
946JsqpsmCMNFPDrpDaSy74mW9RiBra0JsaADENovYf6iXgLYqldavNQKSDCJr0lPsldmmV6xn9A
lI9DgelWJsZDrQ9wY/HwprS6rEg89GJOmRy62IrMqx2jznzj2/3GFJLk2dkzSFoY1aD+UXMdLGjk
G/Mxn3ADFsQwylvLtG60bGQ/h7VKpSgQwMO5zhyx9vrT4GfBOvOMez9w04WOIGtlhmjS0M1dS23e
DKJ79FzCjgLnJcgmTilkHAlTiFU6RWdgb5d47MBtOXKH7LTeNgD3llZd3xd2sIsU5i4Nw0voB2+Y
/pNNn4G7tntO87QYyZHqAtgXosCWiPSSJ2m/nEV8Jdx6w1CYtoZcRyS0L51j3NdNABU66xZw7G+c
qttKiOmBTbJd2zcZPygZWtjwxTI0JfHLZbpEhuYuHe/Fa7O1bo2rDgLPoukEsxziu+mAHX5/2GCd
7tOdmgjflzxqfSfxXGeENKPiMJzpZA5M+ifkFkNoRBto0ucqDeMN8+XtnIkjY0CWQIbYej3fbTig
HtVsRq5l5b3ksDs8wgyAykwrEhAe8NXSwDQgBAlgv22Gbm/IpF/Vlv5Nh9O/CIbpIY0iuR2t+coc
Qfw0YUzuxVy/G6n5blLQg3IydoQb7h2J2zCBx50l8jpL3BUyW/vgWDNc6zT/NsflU+g0IZ1AcWf3
SbwSlUNL0GG4ZZBtWv7GJQetXnOJMcgVbH6NMaxeyW5h8Dm7GrZnaY+M2fUR1ze7xjpodmLA0aY7
w8ZwB4Usp2lIU9mAEyJK3Df2tbDeB93bRxLq6VwQXwGZuH9IpIWWNxgM6nCpthEdbRYWfHNvYV0j
Su3UMjae3OrVt6MbI9E+GCwwlvWa64Kr8W4ygZEGTQtCh/HbQOwKodnIUFmQuHVarPBS8fcmObuN
PtqnXTA82zFLrTEoj0FEUFpTjtiTWOUKTHRxsurbZjcM7dPsM54bAf73sX6O6+KY2NyyVp6cU1Mi
btH2c8p4HNRPuCaDI9vEGBvtgZxtIlkg23TGDTvr7cimMZlpIxExovopnwjSzu6cfSjqy6TVdsAm
gOnoL7NkYwyVqsHN8JKK235odsiJL8pChZ/XIEXrpbnRCQ3zBOyI2VoPBOf0prWpjZB1xVz2W8uJ
241uEMYc9OIlFwabj2JY+Vpds0gtkRPlV1MxPDNlANw+iYe21d1jqcWiuivifhmAIPXRLWdUSv/j
MfqjKo+bBmUZnjbYtygGmfqo4//L47pp2Czhz5zOA0nlC7H1L8bb4riPsca/5o/wfPbWEsv4JQx4
ZOdba//X7/9TEfPr26toSGDbpgTA8uPb1z4pH5rdzefeeS39vaczmB1fyCj6H4OnP3ofOCa6o6w2
At3Gj++DnF5Cuu/nsxEdwrFZgBn1gv3QNf/jfX48/X79Ovk+OQMxI+Jx+Gm8VaFMkx35CmdbXtY2
bi6WY+Lxr7+z7+i7LyXZ9y/t64f56U26UNcbM1Ff2qZ5AEGy7nf6u7sCOVocM66xxQ2DkwVZ8rv7
k7tKF6f+GG0emrW/vo4vhsUOGeKhXfF/XBUb/rd++OufT7lVfjqZTSXyxCMp8QFK+dPPl3bzbOST
bpxZqZz8a1RUR+MxQLSwBOqwmhYXz8Z2XJ6qzbCT7GMuEbJcs4LYDIt0+f1H+WcmrXOf/nkhuU0/
8vwPikhe9FsRafyCOIUS0fEEwWI/4B/NX/DrKXMQlZzpqErx38Io1MKMmgULS1qBf3OUfhdGMdfl
7+Ifyodr/60ikvzPH66h78IoBx8Zfyd0OaH+uh+eS8yAHXPsXO/KzMi8iKUxl9vaKoL82tIIxljL
MGv8F88y62srBT53wXQpXxKxcIBieKhzL1kiiX1L4NJOCIOQdKLIEQIQaWmBYFji6d/nYNHWXe9d
J+7wSfI6UUu1++p15lZjgx80jHhktWWCsnVz6zSW2k6L0jdZj9ZSKf+CeLhOgMssbIiJAZwkRzch
9jAHQW20jLwCzWU8bSmWT+asryKSmClIJNwWfdpNBv67XDPeGMngU+/lvmZMVQpnj/n/W5mPR4RN
qVzjbLCfVUwzyseEEWDxUU8ujnjAALGHiyNRs1vUJBvOKuANvbGr2gJfPirmoUUNglq5XpcZKyiW
C3zanKFWU8yPWdMfiQfM4EQzwqkT8kPNyOJhRRCihXqpTtjzGXXA/GYwXt2EQ7Gh7KmEQ3lRdM8Z
00RWibdhXlyNEyBsDTX0JmvMElxsvh8iMpe8qMGdxLG/0gfRL4rMLbaMq6xVhzRkaXse5/p0nclk
3wRkw4Rm/D5liN10qhy0Bj4sbo5KKyACyuwGyCjGZ2tqF0bf7Yd2OsQ1BYrvQSnpG7b02EIG1JhG
vJqEpuFCajGWpB+Zlg9P/D4vW/kyZ/ZRRI0iL53TKiZz1L8dmrhdQg6JmxWnYxUecHt28zpHvYum
JE2L0GYFkXjVaQyks08b9qnwmcJthJyVHMmg8o6mo4UXTlJA6AJ3ted7KfU1S/Ryix3Su/UTn4DP
dFJip6ogcaeH67OF9izSVdqNwdbA0IF+Lq/Ng5Om3aNb2O6ObFf96Z/H4XeZqM7j488fhwSHI2b6
g+chr/ryPGTJptM5I6ygfebM+m0zZxL9IXUs4KAPeFjyKPr9ecgTlD/6XQ36m1CUmGTlvHQsj78U
B8Xfim40MVt8PVN5HqI6Re5E38+PwJLup+fhOPioN2ykSMlcOhPLhQLBdR9arX9l2ksLubcWayYF
MwpwrQtvJ6UJTzD8rbh3EPpRpMOEqZJ157Vi1Uj8TjoX/cpVGvMOsTkRVETYIz+flQ49s8JmVSNN
T79r1BGrx0q0rtTrpdKx924D21Zp2yPPblZJZ/i4HlC+D0oDHyo1fGij9Ff6ePjcjz2C+QjhvK0U
9MVIJuq8JdNjWPRKY58gtqcUf4DUuke9jZ9I6fFNpcz3lEY/QqzvxSB8lXq/y0wyvhD0YyXAD6A0
/q5S+2PSLFZRU31aGAGQpLdwXtDlTR+DcgpMEmqr8g6Qs3IcTcwEeYD2XPkLRJOr82Aol0nJINMq
iMiDOcXguB8vrRlRmIlZoXP9TYe40cDEYGBmYBe8bSyG+pgczNjolyiEkJb2YNoAwCeDDzNGZ7pq
QcsDYycHR8UxME3A7dpn0Z3bgUNP03KXJcF6LOK71NNWRAJcl7V+SQTMkvMoWNYyu+75lXYsWhCj
R3W+bTXD3bh2eWEA5cR8SN6s4x90Tj6CZtGtfT8NsePX18bIVPUFiQzrzub72anN7VRuM6oz0Fw8
XqYZHADqtOSbKa0Ni8hhEZndN68JN44JcXVw+eOoGz4qYTTLmDEyW5xx107hSeS+u9aGcdpUbfg5
aHg6gbQ/02nctfN4bfTGi6VinYv5Oepjb2mzW147gXiPzPFi0IPpJQ2rZBG1JUtG9HZuX/dE0VW7
WNbXvkcCVe1qh86p7qaIj1WmHVvDwL3yR2R2sJ8/hepJQ5hOMrHJ1rYnfTc7n0ZciHVktA99m4Yr
yHfID13zlASetZUaKVT+vB1LQ67qrK+XWhF+C5JqXuKWmzcuO4xlPBGioDXPEU6igttmmbs5RBls
KeX/sXdmTW0kXd7/Kh1zX0Tty8VMxGgFxA42xjcVssG173t9+veXCHUbkP2MR0SM3ohHfdHdgKpK
qcyTJ8/5L1Y1zmsPgr5CwanvdHdqlxIW3tKXEnsxM0f5KVTDT4bre3MbW9dJ5Q4TVjMat+VxbEUW
soiI4BiCK5Dk06aw0Ysyox+Vj2xboq/byj0zY0TQoyG8sFV5lWsIu5mZs0o7SIxg1VtK/UiEiWoP
DehuWfSJC+BLUyaqE69TJJlGlMXou57IlfegRVoOFxhoi+TboM1U4xMb1W2vSkCGuy+Frwcnue+c
jD2yb56dryD/fDFh/8IDv5UQr/M1+1LiQO+jb5zr40WSCBUy5uaIGvYsV9JmhlHaTYuyNnnIsdcE
yzL0nXnUO9TH2t78WrXVCft6c+Pa6NxA7YD+3K1MJJw2B9l/Z/qChP/rre0EUOb7jU28Z7uxKcaR
CcufUqmO/J4sqPbbjU2B4edgqUj1V7M2Flnbjc060k22Osu0NgQIdsptog8axTbZC6kTY7/zx4n+
6wIE9WihQi+eAcagxoHxzclc82NUmFo4AUlk+osMPNWszxLdHq+pII2tYO/77mjOdb+VfSwDWuS/
Qc2rChYC6gBKXcf8Eui8DfEd410baCjil52BMrLSm0WDA2Lsa4RshHcxPNbjgPksuWGrziTXydKv
Y2nSy7CaxinTmSXnrb7qDaODWoytb1itrbEuxxGoGC1jedr3ZetUTG6/XIZV7oDLl1EM60twrV2n
fwKoiQ1JgBpUk0WoJ0chKIGia1dwGIaFagfphYXn5Q0hpPsmp4ZBty70vW+tXvaLGO2rs8CMsjkF
VvcilAx9gVuKf8xBjoO93WnDNTp87knVZN15lFodEqdtPSvd/AdtbgS/AdOUazsgx41rGIRT3zVw
GjHC+g7KQDJlBA1cwWNn2fpxdwZnDFrIGCxjdL9v0OlGxEvz4H03cq9D3SN9N+pawi5HHi5KuQwX
EdX9hZ4rCC1VFQ46KAKQhoxtfVxgtgdYJ6e47Ti++lUb8/HKH8cQgL/aqN9QWjZQmUM3cyDX/iKg
RjOF4tQVKYI3G+2kuWya6DtDmp4UjqncKnRYoYTQ1DjXcRWc0Gz3LwZ2y5k30I83gqpaOg5CouHo
2Be0cvFPR5F96gzPJD1v+K6bWOpCWas+N0nWLConRJoNPv05Ak8oq4PWixaDA/VL6QvzWiGyLYLC
gJoWaPmsbuRsRTGpXVVVdOoOdL/o2tuLAm7ljw6b92M7T7zTPgt0ni20pPPARZMxCSqK+NmALHRd
N+ZZMdjpMvfw0YYxgU6/UdZIA6iOexqXkvkZL5B7rJrUM1Wy80se311IdIHPq0wFzF6W8uUw+hRs
2ZpOvCDF3wQDoHO9yocbH3LkrK26Yj4EDfjKdnQXVVFV3uzfh4bnQ4NO8e7XkfU2QEZwyJr30VW8
bxtdVUjXgNwUuvNIvRqi3reNrrTpyPppuZkOcY2Kyt/HhudeHC0rUYm0EX4WbbqX6IrBxrPPO7Vy
0doSBht/AOjDK+ftsUHHjwB5a1GsMXmUN8cGxW0Ac5RmdtWXsrVIBbpch18ATKg79i0Ile0gqMJy
J1/yIeSVHJMcIkRpRSexwLkHiVud0+rrJ5WmFbdhY+rHRt9UF13k5o95Df7CErh7P7bQLvUUukS5
I3XaJFGk/qoqk/qyCEP9QZLNeqG4Kg00dNaRo0zdlKQsdx5tCf5DHxuXngKCCl4nPRrbTD5BMTAe
4tYqbzvVaM7ryrdOIFdnxcRqpGihGEP2WWuoF8NcVp8yo4m/GHKcHntG5czS3K3WLUezuS/DMbZK
knYr7JC59Nv8uhMkkAaCmhd4+azFAaq99CV07L5nlefrKwXGw9AvwCo1S2WsG+lJ95zQv6A/RxJa
QGEtsRrLU3Tu6b/c+tBBic0N2N+x1kaCMmwKGB6yp/sA6rMYABI2rG3eAehABTBYmRK+1uTVsF7Z
h4pkrnYOPrpu/2B2sbYeJBzfwAea6cLzTeN0aMzhtu6yca0ZBmjsFMU7DB1oWwWe4gDOb71vzKRg
KqfjuHYrf3xCSvQLhIZF6gWnkrDsShSTipABI0nKO0+Z2EozLCMi2spTqKVEorVn1HgLTfokA+MW
dF6wqJIa91J4h3jHRcW9bgXxSUzjUYvAfuUS2AZf7sja7bLGPKQyb20/T05qCR2fXC7Mi96BvJSo
NFcnam3AXmF/e0Kl0fkmWZ10qsU1jmh9chnaijQr67ZftpJU9XMOqkU9QxA5/2FJGfItuZtidmJX
J1gcmF89RClmowMqu3ej8MwK4XtU7NUPimtl024UAKRozB7GppdWTF7RnE27y9Ar3S+oYHWfUkEb
aLI+uJVQd7zyBeEgRd4rnqVwuCq2NmRTObT49bzqjYri3gC5GPMv81ht1SfHbCe4d5xafaddD8jF
ov6fmcpTLkgaRQBZ2skrhMJJRib/jsXPsVglLfx1LD5flwE+3DtKOOJ921gMuFqDWmWhVaFboqX1
UyyWjzTHQHYZdAOHFwL4P4kuFqyIF2/zWRpH20TXOkKSn7QYEyQE4ABH/EkoRlXjbSgGsqOLrQBs
hs5jvGl1QSuPVGtU/ctEHnX33GdFfO0V2bdPjBJtmqtM6ozTsSnMr6av48bjSCnn466X6AuOVvXZ
8fXs1nECY5xSoe2yhZZa9X2lUXqBJQPQzvTDbKIH0udeBaMFgRCtWFWNkGg2YWUgWoA7WdOad148
rDtvXOMfp6NMemNWNu45CKKrcRJcqoNFQhSZ8751KdSWp74JMwPSKYDFsq2gUw3rqChRd+ioFjSq
x3LBzgZAmR1PoV8v4hRmk5Qi5mA0zonu0eNsO/c4T8wbvTVuEhrqs0izHge3vxhBjSF+pKyLtLjN
NfWrb9OizTAPWqQpnDVPHcelHTjJNGszVOV14yY0rTOqT1/UJELFPY3P4EcR1iMAm65qz/TKIssv
4ZolXW5P8zG6QQ7kU6GP+bmGmTNAU2rKMF16zNRo6lKYprIcU1OotR6/F8hzZyluQqOVfwFW3k4r
BfhDI5dPY1UO88gRRiBVcxyDQoBec6xESKBa6KjiUDPVdZI7W1UpFAkUacgY4ArSTT1ksI6DlP/S
276ZpE72OfWjR8uJrm3dp3EXf1ci/87M4AzWdaifuYZ7EuTSdZCL3oVh+VSDBCyahNKj5EjBU7/x
TfNOLxNQzYb1aGbpahy0m3ywKafJNpEMxTCU7bMQzYl+lQYKApbEaoAbyziALKUKQ4QaVaumSD+H
ZhXPTBTeF0ofzM0cEVrDpF3XkRyzgy7AIbQXjQ3ywxoqG8Un/aRGxegzwtg9+kHN9di2iIxpPsxu
kMSFJIMaHJpP5RB+cxF/ODZ9cg1DlxdUde5N1f5i4cKllsqa+iLineIx5PZGGsiv3fEyhi+GhxE8
OvhWQ3YBr/YsdqIrJP2/BqaTLNJoRPizR/tYR8voRM6HVW0y7RQjPMsw8rYT1F98yb6XwCRPamCU
UyXE7F0qgYN00YWRJ5eaU650x7xqKxv5ZVF98ix9IWnFV9oH4HhVkMKAy83MOs1b83IQLhFIRqwk
x10Aj8xAjVd3dmh9M6X+nDPkk+omd1VtnSjA98MWwIPsWxgaxw7uQRnfgxsmj7HSscRGD839Pm4Q
zzUv+fBir/C/FKXBAUpOLlVXucLafFE40Tco+lNbbKAoNUF30pKrGpGKs1TzV1ZSp/e+CTIlHpDf
xWUgXklxk08N4eXgyqY5tZJk3bmodsOuv1aQyY+lDK1PioMT4ArHjj2exWl93igRFTDsxsxkXWvK
6Whw0069DtH1jl3nxMcuo4rlpQ6yQcsR5w5cKq+0F3HOQk5qiJBMVsVpV0G/2vBPnabWVoFSptdV
H7nVaY+0skCctgBbNTBRiIYdK6F93yRpjFh0QtUV99RqUcRyvcSDlEpfmmEb0uvqVT/op5IcKBc+
C2vKd25cpkDYJ0Zb8uXUVn8/Fql3Q3MoXpEIGMuaISCDkOJjBYHsSQ4XRINQ4HrypDVrH2oCPk5Y
QXHrIZeVhRS60b+36Q1+UeAzfr1N3z3562THJi3etd2kOTDRYlENndYuXZFXfWcNv2fI/aAmZNF2
pub0sksL20GDRrCN7yqlLFAF/+zSDjUsISbJPv3SuPmDAxM4yre7tG6ahiLuxb5vCtGr133nmLMU
0vn2ZYucZDULNe2TZ8jHYZpKp03szRVEhaaG1A4TlzZk3+GNmtGQmCutc1pTiZ7mFBcWXjjc2VJW
LJsQdZhUoR6EmOQ8bPLvntqzSjhVUGfF3qSRZprUfK7sUb8ZkrBbmqXpnvn6YCITZc3MQsXgx2rL
c4OAPTE81V/0lvKtxuZPdpv6OO9SZHZCYbki7PCCvrmhz3htYexzXeRJPPWizp5xMMK5lWPVJMZI
h33EQZTSoTeT8FR2Hy1Cr5FYkmhMhsLezW6CRyWlAT+rWhhDdRq2x6YQp/DykYKzFnmTyE2VS1cl
5eibVBShnfTYUiix5dx+FOZiJR0t7oLh2Cisx0r6zzMHN7IYV7IQd7Iel7K6BJtYp+q6hv+4MoWV
WVa3eAS74Q2OOlNIDatWQpWzNDU8XxNEd0YwfUJiZG4DDpyWz4ZpCIjkY3Xr4KSWs1+dGMV4RU8X
BB9ua1phfc9wX0PPUdhr+NBIEaau3TuvBUnWocrV4txW4uAm4+RGdb6aqcLcjazGWuZx9iXs4lMT
/7c+xAhuwBGuF9ZwTe0sArzijNR5yoV5nIJOJx5ttc02wbDgcgYSQDjOBQHNn0i40KnY0dnY0kXC
n64TTnVxavRzSbjXJcLHbqyqe7OtHmyzn2a6inWvF0AR9wJEPLDBy4QfXiKc8Xrb9GaV3N8hwg6J
S8V2N2hleLQjrSiTMI8Qe3OVV5jBgP0L5+XYfNfz+ktL3pF4qb5wNeUx5/i0gH9Wn6Z4ZbuSrS3g
OLQLs0fJgz4g/oRM12WDHjnMMT0pJ4ECjSHXtROpcZylZyf4A9sZCyGzfwyhOdOj6puWd0jaw72f
K2EFOd/E4jLNTZ52SKas/Xyap1G8CPDdMH0Xh3WY2NMiYI0geEG6k+Ew7CJdw/EQHwtsrzxslWZ0
MC611j1WjfTK79NLM7JPJClYNOpJgrF1d+5wzUqvb/Oiq6fmYCGvZd5bSKNEKUlUp4WDsL9eRgqw
R/jXVVp/sWJfnmU9MlZZmDvzyqLplzkImdZhusii/ByQ/RL5kE84zZxEhXdWJzkpn4o6NxQpNW6P
9QbJR6uj3VH2/WUSq+MpFjcPfkWB0qRCANvbOgkL60x1kPiocRKQkIOwKyyysiiiBon0wMzzFRsX
BCUAORCcqU1wpiT5Q0xVkrJC1Uyw1UX51Lhvygo4TKQvARk4eG4rJlu9TisrBQiC+hSI56ZeIqAA
PcTEl14akpvOdO9Hl+crcsBuIxCPseZ9XhL3QG/jGcjKE3csn4pU0+fqiGlqAUZX9rIRbjaIE4dh
nba1f6+62nXdYXmnBc3A4bjSZ1EL6CUq5B9AXFZ6EJwFiJFAo0k0pnWBQ0HwMJranUvxdFq6mTXF
qVWi2avcQELlsI5qhael16oEt08ZMWhyGvxe2LOL1HbnatVel36zdFP1rvWrc7mVcCjJ7dOgBBPs
Wsl1DLAVD3bp1O/iT4FRA3Ot+1NzwHGctBGMJfplKHjHKHZ0ESV1jEBG2T+HaiZNDMTRZlj7/PBG
967IPUSFFVQFtABiYu+Hj2VORSqjFibb3TjjeIiyHuU8rBel8bi284XVWZgXFbQpgBXPpRYVmsjx
bnstmDcqfDs3XzlO0lIsL08BFqBqp/joOBTJsNQ6s0FrODMWbjJ8SUp5AXp9Tds9WPaqj4RM116g
TfZJNdoz+nm8VYXg2OqLEtZem9mrIC+Pw8qtj1Gnjyh40Nsnt14OlvJ9VPJzwyNm9442NxGYKZTy
qQ6D87ov1mPvzS20FibV0NB0VR4yCJNQEtH06SCqRSjV1dhPejjatkwCkL9E7hzvdJSGjSjF1Gaw
7vImOB914ymqCZSBZmbzNhYsReqINVwiRevKCbx13LdHOql69zlm3kIh1XET6nBMa2k/stCuEbmg
uSl0nGQEndg7y3kW+A29StSeaBWZl7ZQgKIWpi7LqvwSIA5l4DA6zfDJxPjmAV9Fl14onc0KpICQ
yFKIIMpiRHFKc+1+WTrlguf7VoYwZVM7e6yETJVDsx7de6SrMHMyZi5qVux58EX5XZf7q1oIXnEe
mGpCAstJmkeQV4iyW8Wj5iMEH5LPu0I4q27dczyUGhR8EdVyhLyW19cIbQnJLVZZMXVt48KH7TjL
hTCXFGSLDKUuoAj+3CJOCgmvDi2vQYh6BVL4NULlC6DAVIOvvCRtX5JH8B247a1i4FletIV1OkrW
CVKrbMUpIim4d1jTQBkHtDSU6tIZdbojCTJBUTa1k+6yt5Cu5ux+JmtBgqp0/sOWUm8Oxu+hyyRl
LhUIjXmpuY58GHA5nCwZqtk15+NzonnluOc6UCc/0A3EYBpqFZDQgEJlG1xUGciApBCjbkcsmAR4
6t/lrk25i9z213k0npY7mroq79lm0Yp1BILDUsFnbsk827YDVTASWHg4hkIyTX/27yxao92roCwA
l+vvVvA/tS4d/Dc5r4kDJm/7s1qX867tAEKJfoNCLm+CenxuS/yMKh8h/Daod10Q33HVgsWWo22D
z7GOujidKjGpG7WdSKrpx9D6qdueD3JSNfMGyOTErynln5OEylifqR738KYEGLxkXKnRQ2cOaQS1
LG3sDLaxrsYQ9r5rEgk7A4ruUoL+iOTkQIlKVKpxHTb76ya0sIfDOsRbWEYJDrlP7wFkBlNN145r
Ua2qqram1g0jpAxKVKg9qVq4jXwXIlBTptglZ7gYuoN8kw6ktIqCbAiykas8S1Zp4Z4pXf95wMB2
AqfD5dSZLJv8hOqGS/aWo+dkhsE0smi4ooYFysYGu9i4eBS1PWBMy7lCRquZxOxDSOQA9OyFD4Rj
5bMusU+FapHa1/0saNovdW/gPe3FqyTAEAsz5asqS4dFZ2L1YzYOwKG2qKl4j/0swuUZH7GU1qXo
h3PsmstGM8zChuDU2e2jpPcwJsAZNbCgp4mrPPZ9ngEDqxYhUJwAZv4U0gFS3eA6kX393Bjs5WHR
ndFWQgwzaHHfy7RbpBUWhdWoC6COwK4Q/nLpSZ/oPgeFXs8uQjW7KYoOVWvkfbC889HhAkOGDwUa
OxCiv+nIoxHLURLUOKbH0QwKBw6ZuXequ4gm5MhGCWMZ2gh9SLkuiyAbWRLVmvo8wRZgEcVleIZw
6hIBhPuG2uGUFClYagMeJ5LpXfVWGVArqqdKUZ+2DVoAhVzee5kIr5GxGgbltvb6OQ3jdhLC1onS
8AalhbPA0GaRRQpummMwdzHoRmdMcmHwuv5U7p0r2cjQXyu0pyxWqmOFKjZW0dmFoaT10kceIdWi
Txizf04QuMvy4lLyoZVR+IM2HcNhEcKyYZx87ix7Jsy/G1l7kLFnnVlUMtouvu0jA60LwSJ1car0
bd+YDlXYMtFVf5XnpTLTHFB4ftfdp5YquLr1fe92nxW9utMrhAkQslmmvnMZVgYCdzhfG/U3doUU
u6aumzZWhO9ghHqXjcGmVje3GJxFpMMKTl2DBxVa90AUFzeNOT5EtveV/jgq8wGibWjGF/OwhdGk
y82nNpDByWKwPstMH2Z+dipbzjqlwEsfrFCnaqbcwkHBolK/yyt5iTzXVYcJ26QPtFuO99AXfDlB
mEG6oAV3Hli5NNWiYNEH8T325LhOKcM68cb+OBq846ZFvAhQkzNNJYpPWoLAPNi5hzClYgsvjHNV
DxXPkcFKA1fHMGssBbBikXTYGLpqjCsVBMuJKWEpWQ2XiqI/lTFgq6wsLijnfsoK1z8tE2yiTaV/
igLnBq1azitQARFN7IdJNQ4/upbqK1bw5FCeqk9VG9m0vKqVZWx1QmQZrwSXurQJ+mYSKagwZXmA
Ns+QGVOA6MeR169Nv07ntZmm8950KKkV51iwk1r1yB/1GEWX0cCEqi0kQ+QfZaevvCw4HuhtpRag
PtMvTiwtwtAXuUi5LNqF3UuwARtK7WAcT7waHSEQGBT01fAcmYpT0ARoQ4YryKDX6E6skjg88evi
1vWLH3WP81DalWdD5l6ivXKX236ICinlOCjd5sohLhIbM1ZuDJQva4T5d3afZtDOOAKxZoFqGnAn
550HQT5ou89OVTeTJpNY02nOxYPooddqjeXYAyUBl5rYmHc4vYop28AZo3vqSohalhEG83TQV76Z
PPQDI6o4zW2MLMbcbbPPZYjrq1ZJn1XSUN+rYbNHlkyuKmBv2XdH1QH1yD9ahclAhfUux8iRQj9M
diOuK0JEintGYl0hZYhZmqsgqMiJII7bC0OKbvios67xL2EKYsCqw0f0WkmdjLF1RhVK4yAqn4Dt
CaYNOeaJ3iFOk7vw9hyEZeLgKemA97l6RzG6G9NjQPOfUBIYp6bVj3RzntFD/86SNlkSacXvsqTH
7Dsp0VsXHN70d5qEWq8gpNAQBNpN3fCnjiDADYOASDIEef6ZDr0tNiq8CY40bkloLf1s/A1Rmo4g
jBkNjSbwl5Qh/6DWKFAeP9GkBMVFpxcJ/gOYk6xtCM4/JUlFVug1K8y/KpoQ8QcUMCTOcdalogY+
7QtPcqVxHuVZB7S2yUcZOenA0t3ZUFOxWKDro9S3nal4zg+gX8elhAjPGuGiUJ53XRpLKz505Z4q
fogoH2qPElosURok1Np1H/E5paG+BxbJQD9tGpPqAyq1UgvaRztQlqC+RdVumGC/aY0TuBa0/K1n
kEMcGoigsqMax4VXsomlCSqHZtHF5aX3DJFokC625h4AEnMSYfcoP4MojMCpl/+e+s9TXxS/fz31
b4OnstxRaBfv2s59VYbwr8C/Q+AD8LbD7NseEajBo/VFVq4phpDEplG+bYdTTcd2G8DQC2qJC26P
CHTX8UCjAG9YGvS+PyQ0iEd7M/tp1bME6YfDQWVJvS60j5xxfTULwB3ZVBfdZETvS/maeY+yw5yk
gFHiDIMvL7YPmOecdTk/L1Xr0oQr2xT5ArGdmxh/GbyGphwN+mUV+V/S0lgWONFoKfRZukyTynqA
e5aTDtS0dCNIQBb2pMLORvWaT2TZd9CmiknjADUsCqWeQdp5cHHDIWasjCGcJ7jkjDimK7jmIDCI
2hg+Or6RztGmsVApDo6rBvmbEM8dxbOOIczj5RzV7HD+Q5ikn0Zcepyw+MLxi2MJ/j1Sl94XZfM5
UhJyQBx+SkdajDj+BE4ERQAPoNzBKYqS4swOagRWkQycWDgG1WQ1ER1ScfBfWngKlRVcqQGXoaJT
URPAPPqE5isWWa6+CmVQiGEnHdPTRUM3gD7cYNCQ6f2JSrO1y82bLqdVUCflpxivo1iYHpmFferh
goT4OHYc2CLlcn+Osa4x6TxLmht4J9XAUWFMNysdVyXToYBd4LM0KI+IaX31cF8abAO9SmHINNrd
10hYNMWFRs1ff9Isog5iJp9MYeeE6DUCmLq7qIXV09Bh+iT3A2WtYWnb3TwHVIa1PPmrMIrqNqZR
GMC35QXhT/HnLhS8JXYJRo+oVDCAaMvl+iSzbW9eWw7erWqNFlKRyaUFs0132zlU59pZx23RQW82
1HpmRjJmzL3WDfoUlBIWDDHdeM8vimmuO+dJUxRzOdO+p35ZTCQXKoGmo6CK+g3/1SEONVbfTbfR
p05U/AB8Z04G5JSGlO6kpQz0k43oxhrpTVuadSH5yNzWas41SDwzyf8S9/pDaveYkPXtbd5E/hTz
qADOv/EY5tUPdeifgB4PE/gfnz1TZypoGlVQcpkIcb4ylQK4ebU21432CsiHx0kgOtb98gE6TL3Q
JD3Gb9F+GGrqmrmOaJtpdY+VjU0WLshCBLoGKBdUNhYejncee2TeAO7QF/VO8YN91Ht8KBPmC2pf
RjSuSFKXYZZftxpVRR+Ps1y4N5iZJ9TNJmyo9JVk896l6bQ0+ImtdPfeWFzTK57CyKvOuuoBvHM1
cQcpW0kouAczLtVTWYs4o9GnN814Ikk+2OWyBxAg9j30226aIfNOIiQpRjO9GOGUcDamVqyX+Fq1
FE+LISpJFAin/x+wCV4eUZj+zZ8zm+sGRufNU4VgdLXNNsRvrzJUtu+y/90f/f5CLznV3ZA//ed/
rB+TIIU3VZfB95pu6Nt8SwfX+mqnen6w56f+7XXiNWrIzSN30CwYCjIbgYn4pXhxlzgDmbj5tYQ/
EVsZeZom4LX/fI2/G4Xff8DNcP7+b3778G8HQXCk9xwE/UiRgZvZ2ssgkKu+GgRKftCrKflsmN8/
zZNfzYTff74PHwNl/zEwjyhqivKkgUaXeL0dA2qb/I4JQdv+ICeCSPL3nAjWkbY5Y9ibMWDOv5oI
rAbQCdBO9Q1+/f94JvwcEQy+t//F5+cD/hwMBDiEUxHMJPFiQF99fFHfhuOCN4uyGZ8DnQkvU3Rj
bP13qPqjuKiTpqswo7bL4e1MgL8loqJuKRQeNkN1kItC20zUfYYCCjboDOSh3o0BKF2gRMTNl5hx
oNNBJZ7vFxioPtDrwTJXQRlBvOjsvFoZnPg4zhk4VW/u9X8cGHbkCho/228Q6GEZlEyEUvZmENgI
Xg+CGKVnoDUqPwe7JnQefu+hoAeI2h4oNbT+xOvdUKhHtAjpwG1G/QCnw0eMAfqHSBduV/+uMVDZ
LBFDPNDAIO8fHO0jpCFg0WqoP4vX2xipqkfoWkB+UPjNYe4QxLI9A4N1BHQMPzaAm5vX28CADRyi
WYatbWbd4S0HQc3ecxDsI13IcJMePQc/YSLwOjo+76Mm/f9Nsn6Ag7D/Psk2aAl4sfYyCO+Okyp6
pxy2bHUz6w5vEOTNOt0nYTKPLE0xUbV7yZKZ9K9mAmk0ojb8oxzEKWJHsiB0dvZcDhylZBPOEcqo
z693gRFcOdI95M+HnCwIVaK9h8I4ghek03MyN5Fhx7FKbCLggzZR6PAWhZCm3Hs+0NjjGCG/ZEzv
5oN6BLcAXoLYQrnX4Q2CMAjdcxCQiLapNAE62L0oiAy0YxSEOQ52EPbPFpwj6gdER+dXe4RyZNCb
BcR2sGep/StN2pFjywjHv4SE96UW4ieyY1TbDjVlMvbfI6g5ajKqsLT0n187AiMAAgpuAj1wkDFB
1ET2jAlIVSBDYYOT+EVM4KxpgHoAGXqog7D/7mALLy0xDC8zge/7Vcok2hAWqHjMmjevAx0KZf/I
wDGBUhtMdWh/4vV2KBCVQqyZ+GltYsehzgqhJrXn0rCOHDIGXQga7xwKZgWWC4gyOsbz7w91KISK
9J5DoYsTtMiOfn2mwGtTA0j3UqE80AXyTjz5z1uWzpGhYk4PXv5tkKDWgqkM3czN1nR4KeTLqXef
wyV9B2oMOn24X6wJKo8oGAmQ0YFOAX3/FJJBMNgsIB1vBoGF/3q7wHFFSLXKL/c6vJkgVPD3DAlQ
SgCQgZ982RLflhnoSXDMYJiMw94ohBrLfkMBRx1dRAVll3chgda+ieswpfrDzhv2zyPNI5ThCX0c
sbeb4es1ASjRpBRN7/ZAA8NL+WOf6Mj5GVtjTtgvg/A2eRJ5JAZJNOo2QejwAoP+EccqSi0K9k8v
qQBz6/VMIDoCJuXYdaiDIO+9RdCxJXME0CK6M+JFvH09CNRiZF2jQ3eo+6TAYu0XF/GMQE/jufS4
GYR3M4FSC2VJUPCHmjqr+7fozCMTliKpwq8aMwqsTTCceOwdaGB86RPsFxiZ7GBVAHs/v/ior5cD
xiMKtFUKb4c6CPvHBFoOoO6FAfjm9W53kMG4kTxzzjrQQXgphO0zEzhUC7MYTs2bQXiXO6PXZ6uK
glP4gQ6C4CvsHRgdDSFtFY7G8+vd7oAWLDMBDtKhtuiE5+ieg2BSWOQcRdK4GYR3BwjwPDIyy3iU
HehMkPefCfYRkCbDJC7s3iJFs5aXQV/7QAdB37/8SktGQ++bNGD3IJA2I1HAAetgM0ah0LDnchBF
BVSktw3rdxmjaM6RNtO2OtQDlLF/ssRyECa11I/eJggk1AiaKBynD3QdvNOx/fPSItYLeCsgSPuS
IbzdG5kCuP5a8PdeIJAHOhRC8HzP1WBQRlRNzsqcE8Xr7VBQXULjBNdK9VBXg+ic7DkINgVlk7BI
J/b59S5rZhBAwwqB9wOdCS8Hu30SRtGvZ1uwsCl5fr2bCRonaWxENRExGfADrKnsvzlwkkYrgjLi
Bq30rivHcuCXdGgoOovXoQbJlwfbZz7YqIjSe2Qo3m4RlGERY3um6B/yGAh58D0DA6mzrNKGYqvc
vN4MBfQQUinTBLxwqGti71xBlNhgsbNLbDsQbwYB7DPmwhgLHyyQx9gs0z1Wg2g9gNujTf1SbH13
kqSwQjZFX/ZQQ8I7YeE/zpsYBNAIJoypX3SnmQnskZwjBdjnkKPjR2wUuC+rfNsvHYh3KQPFdyCA
cKT/oLLwP9hS/yYoT/0gfnymJiOkuovB/Ks/2HJW3//+J+LxM83w1V8KqvLm5htmrvj//3rNXH5O
CX767TZFeL7Ty/tfPuL7m7+62fZzbX94jBrHuvzuD8+/GF4e9GKdwG3+75h/Pa5/JkmSwWgiYm9/
tptm/ffe8Puroxv5tL3QyeN//oe4uPjStz/b5+LJ+jErtxf66eLEkH/G8T1B/H/05JOmrnc9ODN1
72tP1/G65Supttf66dlJx/e//u/sZJ85+3uM+jRL63L91zSr6nezhi+W9br388+e4r8usnLn+HOE
2Pv68/ivWVYyebbX+mn82Zn2vv6iRJx518VJc/a++O+s0/f9brGm/ZbFj/X2Mf8ZFwE/2PvRT5L8
qQzW8fZSP13+I5bsb6wm9x2Y1VO5w65esB72HpRVkHo7AoEQK9j72mfraEcME42yD7h0VT3tGpOP
WKBnWfXXf6feU/y0a2Q+Yomerx8JwNtx+GkifsQSFW5Qu4bmI3bUf+E0te9EP39KEa0LdkUvUSTZ
e9qcP5Xfnx63F/pn3AW+YP+LZ78W3Nt7YH4tefwBl66fyqdhOwI/jcpHrNSLdb5jogsQ2N4DfvHU
rt/njgZ6yh9w8ctyTQjYXuinQfmIJXoVr78/7cgdRZ1272G5iptkV3InWrJ7X/wmIHWsgscdIyNc
Z/a+/u36e8mRIK13JDBCHuEDbpD+NXlKg503+Igd9XYtblCm6/JxZyATWkgf8ilmwZO3a5Q+YtWK
D7FgBXwPqu+77vERy1fc4zRbF82u3UowEz5klM6aoPrr8ltQ5bs+x0csZvE5ztf1067rf8R65vr1
+q/Juvy23pUzCOLCR4wU95jGu+/wMQtbfIpp2Yzbx/0npgo85f4fwV/vPBPqH7Kof6couu8O/C+s
lPe+fBavd2VUoh+2/6iTmOzyNBNiDftfvF4jsBivmx15uNDV2/8GosyyYx8WcI29L/5bu7d9v9Q7
cvyg3pG0iXL5/o/eEAl2bPGCtPMBF6dAlOyqywnk3N6X/8wVml2BUnDD9776QxbviPMC1LH/pZtv
OzJlYVDyLy69qyz7d4v3fbF2q2y4622va9HiL77HT+vyv/4fAAAA//8=</cx:binary>
              </cx:geoCache>
            </cx:geography>
          </cx:layoutPr>
          <cx:valueColors>
            <cx:minColor>
              <a:schemeClr val="accent2">
                <a:lumMod val="20000"/>
                <a:lumOff val="80000"/>
              </a:schemeClr>
            </cx:minColor>
            <cx:maxColor>
              <a:schemeClr val="accent2">
                <a:lumMod val="75000"/>
              </a:schemeClr>
            </cx:maxColor>
          </cx:valueColors>
        </cx:series>
      </cx:plotAreaRegion>
    </cx:plotArea>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image" Target="../media/image2.emf"/><Relationship Id="rId7" Type="http://schemas.microsoft.com/office/2014/relationships/chartEx" Target="../charts/chartEx3.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10" Type="http://schemas.openxmlformats.org/officeDocument/2006/relationships/chart" Target="../charts/chart12.xml"/><Relationship Id="rId4" Type="http://schemas.openxmlformats.org/officeDocument/2006/relationships/chart" Target="../charts/chart8.xml"/><Relationship Id="rId9"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3</xdr:col>
      <xdr:colOff>998220</xdr:colOff>
      <xdr:row>19</xdr:row>
      <xdr:rowOff>76200</xdr:rowOff>
    </xdr:from>
    <xdr:to>
      <xdr:col>6</xdr:col>
      <xdr:colOff>274320</xdr:colOff>
      <xdr:row>31</xdr:row>
      <xdr:rowOff>7620</xdr:rowOff>
    </xdr:to>
    <xdr:graphicFrame macro="">
      <xdr:nvGraphicFramePr>
        <xdr:cNvPr id="3" name="Chart 2">
          <a:extLst>
            <a:ext uri="{FF2B5EF4-FFF2-40B4-BE49-F238E27FC236}">
              <a16:creationId xmlns:a16="http://schemas.microsoft.com/office/drawing/2014/main" id="{E3C0BD3C-DF3C-548D-A927-F277D62892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26</xdr:row>
      <xdr:rowOff>11430</xdr:rowOff>
    </xdr:from>
    <xdr:to>
      <xdr:col>12</xdr:col>
      <xdr:colOff>609600</xdr:colOff>
      <xdr:row>33</xdr:row>
      <xdr:rowOff>68580</xdr:rowOff>
    </xdr:to>
    <xdr:graphicFrame macro="">
      <xdr:nvGraphicFramePr>
        <xdr:cNvPr id="2" name="Chart 1">
          <a:extLst>
            <a:ext uri="{FF2B5EF4-FFF2-40B4-BE49-F238E27FC236}">
              <a16:creationId xmlns:a16="http://schemas.microsoft.com/office/drawing/2014/main" id="{6F779264-D2FA-5F48-F6A4-BE2D7E28F4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76200</xdr:colOff>
      <xdr:row>9</xdr:row>
      <xdr:rowOff>26670</xdr:rowOff>
    </xdr:from>
    <xdr:to>
      <xdr:col>15</xdr:col>
      <xdr:colOff>685800</xdr:colOff>
      <xdr:row>18</xdr:row>
      <xdr:rowOff>137160</xdr:rowOff>
    </xdr:to>
    <xdr:graphicFrame macro="">
      <xdr:nvGraphicFramePr>
        <xdr:cNvPr id="4" name="Chart 3">
          <a:extLst>
            <a:ext uri="{FF2B5EF4-FFF2-40B4-BE49-F238E27FC236}">
              <a16:creationId xmlns:a16="http://schemas.microsoft.com/office/drawing/2014/main" id="{F23CD1D9-A66D-3767-B762-F3CB967449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25</xdr:row>
      <xdr:rowOff>175260</xdr:rowOff>
    </xdr:from>
    <xdr:to>
      <xdr:col>2</xdr:col>
      <xdr:colOff>952500</xdr:colOff>
      <xdr:row>37</xdr:row>
      <xdr:rowOff>7619</xdr:rowOff>
    </xdr:to>
    <xdr:graphicFrame macro="">
      <xdr:nvGraphicFramePr>
        <xdr:cNvPr id="7" name="Chart 6">
          <a:extLst>
            <a:ext uri="{FF2B5EF4-FFF2-40B4-BE49-F238E27FC236}">
              <a16:creationId xmlns:a16="http://schemas.microsoft.com/office/drawing/2014/main" id="{5F212732-0363-41A2-B155-2DD92DF6C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274320</xdr:colOff>
      <xdr:row>12</xdr:row>
      <xdr:rowOff>133350</xdr:rowOff>
    </xdr:from>
    <xdr:to>
      <xdr:col>14</xdr:col>
      <xdr:colOff>60960</xdr:colOff>
      <xdr:row>27</xdr:row>
      <xdr:rowOff>133350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785D7300-D99D-3A9F-9A65-F917AFF75C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804660" y="2846070"/>
              <a:ext cx="391668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342900</xdr:colOff>
      <xdr:row>30</xdr:row>
      <xdr:rowOff>83820</xdr:rowOff>
    </xdr:from>
    <xdr:to>
      <xdr:col>13</xdr:col>
      <xdr:colOff>1150620</xdr:colOff>
      <xdr:row>45</xdr:row>
      <xdr:rowOff>95250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431D857E-C9CB-AD45-86DD-1421F6B600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482840" y="6088380"/>
              <a:ext cx="2956560" cy="27546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19</xdr:row>
      <xdr:rowOff>99060</xdr:rowOff>
    </xdr:from>
    <xdr:to>
      <xdr:col>3</xdr:col>
      <xdr:colOff>60960</xdr:colOff>
      <xdr:row>29</xdr:row>
      <xdr:rowOff>60960</xdr:rowOff>
    </xdr:to>
    <xdr:graphicFrame macro="">
      <xdr:nvGraphicFramePr>
        <xdr:cNvPr id="2" name="Chart 1">
          <a:extLst>
            <a:ext uri="{FF2B5EF4-FFF2-40B4-BE49-F238E27FC236}">
              <a16:creationId xmlns:a16="http://schemas.microsoft.com/office/drawing/2014/main" id="{8BE0E825-3A70-A002-A193-AD3EADD37F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53340</xdr:colOff>
      <xdr:row>9</xdr:row>
      <xdr:rowOff>41910</xdr:rowOff>
    </xdr:from>
    <xdr:to>
      <xdr:col>10</xdr:col>
      <xdr:colOff>381000</xdr:colOff>
      <xdr:row>20</xdr:row>
      <xdr:rowOff>91440</xdr:rowOff>
    </xdr:to>
    <xdr:graphicFrame macro="">
      <xdr:nvGraphicFramePr>
        <xdr:cNvPr id="3" name="Chart 2">
          <a:extLst>
            <a:ext uri="{FF2B5EF4-FFF2-40B4-BE49-F238E27FC236}">
              <a16:creationId xmlns:a16="http://schemas.microsoft.com/office/drawing/2014/main" id="{3E6EC330-CAFD-F37A-FB69-3985B496B9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0</xdr:colOff>
      <xdr:row>23</xdr:row>
      <xdr:rowOff>0</xdr:rowOff>
    </xdr:from>
    <xdr:to>
      <xdr:col>6</xdr:col>
      <xdr:colOff>60960</xdr:colOff>
      <xdr:row>32</xdr:row>
      <xdr:rowOff>53340</xdr:rowOff>
    </xdr:to>
    <mc:AlternateContent xmlns:mc="http://schemas.openxmlformats.org/markup-compatibility/2006" xmlns:a14="http://schemas.microsoft.com/office/drawing/2010/main">
      <mc:Choice Requires="a14">
        <xdr:graphicFrame macro="">
          <xdr:nvGraphicFramePr>
            <xdr:cNvPr id="4" name="Order Mode">
              <a:extLst>
                <a:ext uri="{FF2B5EF4-FFF2-40B4-BE49-F238E27FC236}">
                  <a16:creationId xmlns:a16="http://schemas.microsoft.com/office/drawing/2014/main" id="{B5EEA5FB-CF27-403D-B575-BD1AF2D2DFA8}"/>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2987040" y="4206240"/>
              <a:ext cx="1828800" cy="1699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205740</xdr:colOff>
      <xdr:row>23</xdr:row>
      <xdr:rowOff>7620</xdr:rowOff>
    </xdr:from>
    <xdr:to>
      <xdr:col>9</xdr:col>
      <xdr:colOff>388620</xdr:colOff>
      <xdr:row>30</xdr:row>
      <xdr:rowOff>144780</xdr:rowOff>
    </xdr:to>
    <mc:AlternateContent xmlns:mc="http://schemas.openxmlformats.org/markup-compatibility/2006" xmlns:a14="http://schemas.microsoft.com/office/drawing/2010/main">
      <mc:Choice Requires="a14">
        <xdr:graphicFrame macro="">
          <xdr:nvGraphicFramePr>
            <xdr:cNvPr id="5" name="Gender Value">
              <a:extLst>
                <a:ext uri="{FF2B5EF4-FFF2-40B4-BE49-F238E27FC236}">
                  <a16:creationId xmlns:a16="http://schemas.microsoft.com/office/drawing/2014/main" id="{6BA8425A-6D81-4263-A028-13A511EC84F6}"/>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4960620" y="4213860"/>
              <a:ext cx="182880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25400</xdr:colOff>
      <xdr:row>35</xdr:row>
      <xdr:rowOff>93134</xdr:rowOff>
    </xdr:to>
    <xdr:grpSp>
      <xdr:nvGrpSpPr>
        <xdr:cNvPr id="27" name="Group 26">
          <a:extLst>
            <a:ext uri="{FF2B5EF4-FFF2-40B4-BE49-F238E27FC236}">
              <a16:creationId xmlns:a16="http://schemas.microsoft.com/office/drawing/2014/main" id="{966AB020-1E29-7257-54EB-2B63787D26DD}"/>
            </a:ext>
          </a:extLst>
        </xdr:cNvPr>
        <xdr:cNvGrpSpPr/>
      </xdr:nvGrpSpPr>
      <xdr:grpSpPr>
        <a:xfrm>
          <a:off x="0" y="0"/>
          <a:ext cx="15138400" cy="6612467"/>
          <a:chOff x="0" y="-167807"/>
          <a:chExt cx="15663333" cy="6519333"/>
        </a:xfrm>
      </xdr:grpSpPr>
      <xdr:sp macro="" textlink="">
        <xdr:nvSpPr>
          <xdr:cNvPr id="3" name="Rectangle 2">
            <a:extLst>
              <a:ext uri="{FF2B5EF4-FFF2-40B4-BE49-F238E27FC236}">
                <a16:creationId xmlns:a16="http://schemas.microsoft.com/office/drawing/2014/main" id="{1712D996-B922-4B64-B202-12BE87171661}"/>
              </a:ext>
            </a:extLst>
          </xdr:cNvPr>
          <xdr:cNvSpPr/>
        </xdr:nvSpPr>
        <xdr:spPr>
          <a:xfrm>
            <a:off x="2852420" y="-167807"/>
            <a:ext cx="12810913" cy="6519333"/>
          </a:xfrm>
          <a:prstGeom prst="rect">
            <a:avLst/>
          </a:prstGeom>
          <a:solidFill>
            <a:schemeClr val="accent6">
              <a:lumMod val="20000"/>
              <a:lumOff val="8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 </a:t>
            </a:r>
          </a:p>
        </xdr:txBody>
      </xdr:sp>
      <xdr:sp macro="" textlink="">
        <xdr:nvSpPr>
          <xdr:cNvPr id="2" name="Rectangle 1">
            <a:extLst>
              <a:ext uri="{FF2B5EF4-FFF2-40B4-BE49-F238E27FC236}">
                <a16:creationId xmlns:a16="http://schemas.microsoft.com/office/drawing/2014/main" id="{DA8112C9-C0E5-7764-6B79-300E766E3422}"/>
              </a:ext>
            </a:extLst>
          </xdr:cNvPr>
          <xdr:cNvSpPr/>
        </xdr:nvSpPr>
        <xdr:spPr>
          <a:xfrm>
            <a:off x="0" y="-167807"/>
            <a:ext cx="2887132" cy="6510867"/>
          </a:xfrm>
          <a:prstGeom prst="rect">
            <a:avLst/>
          </a:prstGeom>
          <a:solidFill>
            <a:srgbClr val="012B22"/>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grpSp>
    <xdr:clientData/>
  </xdr:twoCellAnchor>
  <xdr:twoCellAnchor editAs="oneCell">
    <xdr:from>
      <xdr:col>6</xdr:col>
      <xdr:colOff>609599</xdr:colOff>
      <xdr:row>46</xdr:row>
      <xdr:rowOff>0</xdr:rowOff>
    </xdr:from>
    <xdr:to>
      <xdr:col>12</xdr:col>
      <xdr:colOff>186266</xdr:colOff>
      <xdr:row>58</xdr:row>
      <xdr:rowOff>127000</xdr:rowOff>
    </xdr:to>
    <xdr:sp macro="" textlink="">
      <xdr:nvSpPr>
        <xdr:cNvPr id="4098" name="AutoShape 2" descr="Modern e-commerce insights logo">
          <a:extLst>
            <a:ext uri="{FF2B5EF4-FFF2-40B4-BE49-F238E27FC236}">
              <a16:creationId xmlns:a16="http://schemas.microsoft.com/office/drawing/2014/main" id="{591BF29D-8AA8-11B1-1105-1CA17003669E}"/>
            </a:ext>
          </a:extLst>
        </xdr:cNvPr>
        <xdr:cNvSpPr>
          <a:spLocks noChangeAspect="1" noChangeArrowheads="1"/>
        </xdr:cNvSpPr>
      </xdr:nvSpPr>
      <xdr:spPr bwMode="auto">
        <a:xfrm>
          <a:off x="4749799" y="8568267"/>
          <a:ext cx="3234267" cy="23622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48</xdr:row>
      <xdr:rowOff>0</xdr:rowOff>
    </xdr:from>
    <xdr:to>
      <xdr:col>9</xdr:col>
      <xdr:colOff>304800</xdr:colOff>
      <xdr:row>49</xdr:row>
      <xdr:rowOff>121920</xdr:rowOff>
    </xdr:to>
    <xdr:sp macro="" textlink="">
      <xdr:nvSpPr>
        <xdr:cNvPr id="4099" name="AutoShape 3" descr="Modern e-commerce insights logo">
          <a:extLst>
            <a:ext uri="{FF2B5EF4-FFF2-40B4-BE49-F238E27FC236}">
              <a16:creationId xmlns:a16="http://schemas.microsoft.com/office/drawing/2014/main" id="{644AE7FF-2E77-3695-4438-9FEDA06F7F9F}"/>
            </a:ext>
          </a:extLst>
        </xdr:cNvPr>
        <xdr:cNvSpPr>
          <a:spLocks noChangeAspect="1" noChangeArrowheads="1"/>
        </xdr:cNvSpPr>
      </xdr:nvSpPr>
      <xdr:spPr bwMode="auto">
        <a:xfrm>
          <a:off x="5958840" y="8778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355601</xdr:colOff>
      <xdr:row>0</xdr:row>
      <xdr:rowOff>0</xdr:rowOff>
    </xdr:from>
    <xdr:to>
      <xdr:col>1</xdr:col>
      <xdr:colOff>1515534</xdr:colOff>
      <xdr:row>5</xdr:row>
      <xdr:rowOff>160867</xdr:rowOff>
    </xdr:to>
    <xdr:pic>
      <xdr:nvPicPr>
        <xdr:cNvPr id="9" name="Picture 8">
          <a:extLst>
            <a:ext uri="{FF2B5EF4-FFF2-40B4-BE49-F238E27FC236}">
              <a16:creationId xmlns:a16="http://schemas.microsoft.com/office/drawing/2014/main" id="{DDA51730-44D6-5BEC-3968-604905FAA6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0334" y="0"/>
          <a:ext cx="1159933" cy="1092200"/>
        </a:xfrm>
        <a:prstGeom prst="rect">
          <a:avLst/>
        </a:prstGeom>
      </xdr:spPr>
    </xdr:pic>
    <xdr:clientData/>
  </xdr:twoCellAnchor>
  <xdr:twoCellAnchor>
    <xdr:from>
      <xdr:col>0</xdr:col>
      <xdr:colOff>101600</xdr:colOff>
      <xdr:row>7</xdr:row>
      <xdr:rowOff>152399</xdr:rowOff>
    </xdr:from>
    <xdr:to>
      <xdr:col>1</xdr:col>
      <xdr:colOff>613411</xdr:colOff>
      <xdr:row>8</xdr:row>
      <xdr:rowOff>177800</xdr:rowOff>
    </xdr:to>
    <xdr:sp macro="" textlink="Pivots!A7">
      <xdr:nvSpPr>
        <xdr:cNvPr id="10" name="TextBox 9">
          <a:extLst>
            <a:ext uri="{FF2B5EF4-FFF2-40B4-BE49-F238E27FC236}">
              <a16:creationId xmlns:a16="http://schemas.microsoft.com/office/drawing/2014/main" id="{C57E9A9E-3DE1-8543-07B0-64077C1C4250}"/>
            </a:ext>
          </a:extLst>
        </xdr:cNvPr>
        <xdr:cNvSpPr txBox="1"/>
      </xdr:nvSpPr>
      <xdr:spPr>
        <a:xfrm>
          <a:off x="101600" y="1456266"/>
          <a:ext cx="706544" cy="211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29BCC5-5980-46C4-9383-CE149D6298A8}" type="TxLink">
            <a:rPr lang="en-US" sz="1600" b="1" i="0" u="none" strike="noStrike">
              <a:solidFill>
                <a:srgbClr val="DCEBC8"/>
              </a:solidFill>
              <a:effectLst>
                <a:outerShdw blurRad="50800" dist="38100" algn="l" rotWithShape="0">
                  <a:prstClr val="black">
                    <a:alpha val="40000"/>
                  </a:prstClr>
                </a:outerShdw>
              </a:effectLst>
              <a:latin typeface="+mn-lt"/>
              <a:ea typeface="Calibri"/>
              <a:cs typeface="Calibri"/>
            </a:rPr>
            <a:pPr algn="ctr"/>
            <a:t>2,400</a:t>
          </a:fld>
          <a:endParaRPr lang="en-IN" sz="1600" b="1">
            <a:solidFill>
              <a:srgbClr val="DCEBC8"/>
            </a:solidFill>
            <a:effectLst>
              <a:outerShdw blurRad="50800" dist="38100" algn="l" rotWithShape="0">
                <a:prstClr val="black">
                  <a:alpha val="40000"/>
                </a:prstClr>
              </a:outerShdw>
            </a:effectLst>
            <a:latin typeface="+mn-lt"/>
          </a:endParaRPr>
        </a:p>
      </xdr:txBody>
    </xdr:sp>
    <xdr:clientData/>
  </xdr:twoCellAnchor>
  <xdr:oneCellAnchor>
    <xdr:from>
      <xdr:col>0</xdr:col>
      <xdr:colOff>101177</xdr:colOff>
      <xdr:row>7</xdr:row>
      <xdr:rowOff>182689</xdr:rowOff>
    </xdr:from>
    <xdr:ext cx="184731" cy="264560"/>
    <xdr:sp macro="" textlink="">
      <xdr:nvSpPr>
        <xdr:cNvPr id="11" name="TextBox 10">
          <a:extLst>
            <a:ext uri="{FF2B5EF4-FFF2-40B4-BE49-F238E27FC236}">
              <a16:creationId xmlns:a16="http://schemas.microsoft.com/office/drawing/2014/main" id="{9B91DD43-BAB9-18C3-69B4-FD87981549DA}"/>
            </a:ext>
          </a:extLst>
        </xdr:cNvPr>
        <xdr:cNvSpPr txBox="1"/>
      </xdr:nvSpPr>
      <xdr:spPr>
        <a:xfrm>
          <a:off x="101177" y="148655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80884</xdr:colOff>
      <xdr:row>10</xdr:row>
      <xdr:rowOff>86466</xdr:rowOff>
    </xdr:from>
    <xdr:to>
      <xdr:col>1</xdr:col>
      <xdr:colOff>710805</xdr:colOff>
      <xdr:row>11</xdr:row>
      <xdr:rowOff>137995</xdr:rowOff>
    </xdr:to>
    <xdr:sp macro="" textlink="Pivots!B7">
      <xdr:nvSpPr>
        <xdr:cNvPr id="12" name="TextBox 11">
          <a:extLst>
            <a:ext uri="{FF2B5EF4-FFF2-40B4-BE49-F238E27FC236}">
              <a16:creationId xmlns:a16="http://schemas.microsoft.com/office/drawing/2014/main" id="{D7E63818-C3B3-4CA9-9AEA-03ABD83C9247}"/>
            </a:ext>
          </a:extLst>
        </xdr:cNvPr>
        <xdr:cNvSpPr txBox="1"/>
      </xdr:nvSpPr>
      <xdr:spPr>
        <a:xfrm>
          <a:off x="80884" y="1923913"/>
          <a:ext cx="819070" cy="235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2BC4444-8EBC-4E59-89A2-C3C4533215E5}" type="TxLink">
            <a:rPr lang="en-US" sz="1600" b="1" i="0" u="none" strike="noStrike">
              <a:solidFill>
                <a:srgbClr val="DCEBC8"/>
              </a:solidFill>
              <a:effectLst>
                <a:outerShdw blurRad="50800" dist="38100" algn="l" rotWithShape="0">
                  <a:prstClr val="black">
                    <a:alpha val="40000"/>
                  </a:prstClr>
                </a:outerShdw>
              </a:effectLst>
              <a:latin typeface="+mn-lt"/>
              <a:ea typeface="Calibri"/>
              <a:cs typeface="Calibri"/>
            </a:rPr>
            <a:pPr marL="0" indent="0" algn="ctr"/>
            <a:t>11,997</a:t>
          </a:fld>
          <a:endParaRPr lang="en-IN" sz="1600" b="1" i="0" u="none" strike="noStrike">
            <a:solidFill>
              <a:srgbClr val="DCEBC8"/>
            </a:solidFill>
            <a:effectLst>
              <a:outerShdw blurRad="50800" dist="38100" algn="l" rotWithShape="0">
                <a:prstClr val="black">
                  <a:alpha val="40000"/>
                </a:prstClr>
              </a:outerShdw>
            </a:effectLst>
            <a:latin typeface="+mn-lt"/>
            <a:ea typeface="Calibri"/>
            <a:cs typeface="Calibri"/>
          </a:endParaRPr>
        </a:p>
      </xdr:txBody>
    </xdr:sp>
    <xdr:clientData/>
  </xdr:twoCellAnchor>
  <xdr:twoCellAnchor>
    <xdr:from>
      <xdr:col>0</xdr:col>
      <xdr:colOff>82802</xdr:colOff>
      <xdr:row>13</xdr:row>
      <xdr:rowOff>5764</xdr:rowOff>
    </xdr:from>
    <xdr:to>
      <xdr:col>1</xdr:col>
      <xdr:colOff>794426</xdr:colOff>
      <xdr:row>14</xdr:row>
      <xdr:rowOff>104841</xdr:rowOff>
    </xdr:to>
    <xdr:sp macro="" textlink="Pivots!C7">
      <xdr:nvSpPr>
        <xdr:cNvPr id="13" name="TextBox 12">
          <a:extLst>
            <a:ext uri="{FF2B5EF4-FFF2-40B4-BE49-F238E27FC236}">
              <a16:creationId xmlns:a16="http://schemas.microsoft.com/office/drawing/2014/main" id="{DDC7CDA6-33FE-4FA3-9A94-333B9BE4E4E8}"/>
            </a:ext>
          </a:extLst>
        </xdr:cNvPr>
        <xdr:cNvSpPr txBox="1"/>
      </xdr:nvSpPr>
      <xdr:spPr>
        <a:xfrm>
          <a:off x="82802" y="2394445"/>
          <a:ext cx="900773" cy="282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8571B36-F808-4130-82CD-5664F8B4008D}" type="TxLink">
            <a:rPr lang="en-US" sz="1600" b="1" i="0" u="none" strike="noStrike">
              <a:solidFill>
                <a:srgbClr val="FFFF00"/>
              </a:solidFill>
              <a:effectLst>
                <a:outerShdw blurRad="50800" dist="38100" algn="l" rotWithShape="0">
                  <a:prstClr val="black">
                    <a:alpha val="40000"/>
                  </a:prstClr>
                </a:outerShdw>
              </a:effectLst>
              <a:latin typeface="+mn-lt"/>
              <a:ea typeface="Calibri"/>
              <a:cs typeface="Calibri"/>
            </a:rPr>
            <a:pPr marL="0" indent="0" algn="ctr"/>
            <a:t>$649.0k</a:t>
          </a:fld>
          <a:endParaRPr lang="en-IN" sz="1600" b="1" i="0" u="none" strike="noStrike">
            <a:solidFill>
              <a:srgbClr val="FFFF00"/>
            </a:solidFill>
            <a:effectLst>
              <a:outerShdw blurRad="50800" dist="38100" algn="l" rotWithShape="0">
                <a:prstClr val="black">
                  <a:alpha val="40000"/>
                </a:prstClr>
              </a:outerShdw>
            </a:effectLst>
            <a:latin typeface="+mn-lt"/>
            <a:ea typeface="Calibri"/>
            <a:cs typeface="Calibri"/>
          </a:endParaRPr>
        </a:p>
      </xdr:txBody>
    </xdr:sp>
    <xdr:clientData/>
  </xdr:twoCellAnchor>
  <xdr:twoCellAnchor>
    <xdr:from>
      <xdr:col>0</xdr:col>
      <xdr:colOff>70200</xdr:colOff>
      <xdr:row>15</xdr:row>
      <xdr:rowOff>130784</xdr:rowOff>
    </xdr:from>
    <xdr:to>
      <xdr:col>1</xdr:col>
      <xdr:colOff>454164</xdr:colOff>
      <xdr:row>17</xdr:row>
      <xdr:rowOff>91745</xdr:rowOff>
    </xdr:to>
    <xdr:sp macro="" textlink="Pivots!D7">
      <xdr:nvSpPr>
        <xdr:cNvPr id="14" name="TextBox 13">
          <a:extLst>
            <a:ext uri="{FF2B5EF4-FFF2-40B4-BE49-F238E27FC236}">
              <a16:creationId xmlns:a16="http://schemas.microsoft.com/office/drawing/2014/main" id="{74723D76-48AA-4F96-8297-93F750467F42}"/>
            </a:ext>
          </a:extLst>
        </xdr:cNvPr>
        <xdr:cNvSpPr txBox="1"/>
      </xdr:nvSpPr>
      <xdr:spPr>
        <a:xfrm>
          <a:off x="70200" y="2886954"/>
          <a:ext cx="573113" cy="328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4CACFEE-8715-4B13-B575-9A6B944600A8}" type="TxLink">
            <a:rPr lang="en-US" sz="1600" b="1" i="0" u="none" strike="noStrike">
              <a:solidFill>
                <a:srgbClr val="DCEBC8"/>
              </a:solidFill>
              <a:effectLst>
                <a:outerShdw blurRad="50800" dist="38100" algn="l" rotWithShape="0">
                  <a:prstClr val="black">
                    <a:alpha val="40000"/>
                  </a:prstClr>
                </a:outerShdw>
              </a:effectLst>
              <a:latin typeface="+mn-lt"/>
              <a:ea typeface="Calibri"/>
              <a:cs typeface="Calibri"/>
            </a:rPr>
            <a:pPr marL="0" indent="0" algn="ctr"/>
            <a:t>4.0</a:t>
          </a:fld>
          <a:endParaRPr lang="en-IN" sz="1600" b="1" i="0" u="none" strike="noStrike">
            <a:solidFill>
              <a:srgbClr val="DCEBC8"/>
            </a:solidFill>
            <a:effectLst>
              <a:outerShdw blurRad="50800" dist="38100" algn="l" rotWithShape="0">
                <a:prstClr val="black">
                  <a:alpha val="40000"/>
                </a:prstClr>
              </a:outerShdw>
            </a:effectLst>
            <a:latin typeface="+mn-lt"/>
            <a:ea typeface="Calibri"/>
            <a:cs typeface="Calibri"/>
          </a:endParaRPr>
        </a:p>
      </xdr:txBody>
    </xdr:sp>
    <xdr:clientData/>
  </xdr:twoCellAnchor>
  <xdr:twoCellAnchor>
    <xdr:from>
      <xdr:col>0</xdr:col>
      <xdr:colOff>21617</xdr:colOff>
      <xdr:row>18</xdr:row>
      <xdr:rowOff>139969</xdr:rowOff>
    </xdr:from>
    <xdr:to>
      <xdr:col>1</xdr:col>
      <xdr:colOff>507606</xdr:colOff>
      <xdr:row>20</xdr:row>
      <xdr:rowOff>37050</xdr:rowOff>
    </xdr:to>
    <xdr:sp macro="" textlink="Pivots!E7">
      <xdr:nvSpPr>
        <xdr:cNvPr id="15" name="TextBox 14">
          <a:extLst>
            <a:ext uri="{FF2B5EF4-FFF2-40B4-BE49-F238E27FC236}">
              <a16:creationId xmlns:a16="http://schemas.microsoft.com/office/drawing/2014/main" id="{BF88064A-22DC-48AA-BC7C-29F2CEE97B08}"/>
            </a:ext>
          </a:extLst>
        </xdr:cNvPr>
        <xdr:cNvSpPr txBox="1"/>
      </xdr:nvSpPr>
      <xdr:spPr>
        <a:xfrm>
          <a:off x="21617" y="3447373"/>
          <a:ext cx="675138" cy="264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0C41623-1876-49B6-B93B-0FA133AA94E6}" type="TxLink">
            <a:rPr lang="en-US" sz="1600" b="1" i="0" u="none" strike="noStrike">
              <a:solidFill>
                <a:srgbClr val="DCEBC8"/>
              </a:solidFill>
              <a:effectLst>
                <a:outerShdw blurRad="50800" dist="38100" algn="l" rotWithShape="0">
                  <a:prstClr val="black">
                    <a:alpha val="40000"/>
                  </a:prstClr>
                </a:outerShdw>
              </a:effectLst>
              <a:latin typeface="+mn-lt"/>
              <a:ea typeface="Calibri"/>
              <a:cs typeface="Calibri"/>
            </a:rPr>
            <a:pPr marL="0" indent="0" algn="ctr"/>
            <a:t>2.3</a:t>
          </a:fld>
          <a:endParaRPr lang="en-IN" sz="1600" b="1" i="0" u="none" strike="noStrike">
            <a:solidFill>
              <a:srgbClr val="DCEBC8"/>
            </a:solidFill>
            <a:effectLst>
              <a:outerShdw blurRad="50800" dist="38100" algn="l" rotWithShape="0">
                <a:prstClr val="black">
                  <a:alpha val="40000"/>
                </a:prstClr>
              </a:outerShdw>
            </a:effectLst>
            <a:latin typeface="+mn-lt"/>
            <a:ea typeface="Calibri"/>
            <a:cs typeface="Calibri"/>
          </a:endParaRPr>
        </a:p>
      </xdr:txBody>
    </xdr:sp>
    <xdr:clientData/>
  </xdr:twoCellAnchor>
  <xdr:twoCellAnchor>
    <xdr:from>
      <xdr:col>0</xdr:col>
      <xdr:colOff>16212</xdr:colOff>
      <xdr:row>21</xdr:row>
      <xdr:rowOff>141233</xdr:rowOff>
    </xdr:from>
    <xdr:to>
      <xdr:col>1</xdr:col>
      <xdr:colOff>702013</xdr:colOff>
      <xdr:row>23</xdr:row>
      <xdr:rowOff>84485</xdr:rowOff>
    </xdr:to>
    <xdr:sp macro="" textlink="Pivots!F7">
      <xdr:nvSpPr>
        <xdr:cNvPr id="16" name="TextBox 15">
          <a:extLst>
            <a:ext uri="{FF2B5EF4-FFF2-40B4-BE49-F238E27FC236}">
              <a16:creationId xmlns:a16="http://schemas.microsoft.com/office/drawing/2014/main" id="{C431CF83-3A45-4F71-9F43-7467C62F5777}"/>
            </a:ext>
          </a:extLst>
        </xdr:cNvPr>
        <xdr:cNvSpPr txBox="1"/>
      </xdr:nvSpPr>
      <xdr:spPr>
        <a:xfrm>
          <a:off x="16212" y="3999871"/>
          <a:ext cx="874950" cy="310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3477E7A-5B1B-4CA1-BF39-DC6DDB59DC93}" type="TxLink">
            <a:rPr lang="en-US" sz="1600" b="1" i="0" u="none" strike="noStrike">
              <a:solidFill>
                <a:srgbClr val="DCEBC8"/>
              </a:solidFill>
              <a:effectLst>
                <a:outerShdw blurRad="50800" dist="38100" algn="l" rotWithShape="0">
                  <a:prstClr val="black">
                    <a:alpha val="40000"/>
                  </a:prstClr>
                </a:outerShdw>
              </a:effectLst>
              <a:latin typeface="+mn-lt"/>
              <a:ea typeface="Calibri"/>
              <a:cs typeface="Calibri"/>
            </a:rPr>
            <a:pPr marL="0" indent="0" algn="ctr"/>
            <a:t>$270.4</a:t>
          </a:fld>
          <a:endParaRPr lang="en-IN" sz="1600" b="1" i="0" u="none" strike="noStrike">
            <a:solidFill>
              <a:srgbClr val="DCEBC8"/>
            </a:solidFill>
            <a:effectLst>
              <a:outerShdw blurRad="50800" dist="38100" algn="l" rotWithShape="0">
                <a:prstClr val="black">
                  <a:alpha val="40000"/>
                </a:prstClr>
              </a:outerShdw>
            </a:effectLst>
            <a:latin typeface="+mn-lt"/>
            <a:ea typeface="Calibri"/>
            <a:cs typeface="Calibri"/>
          </a:endParaRPr>
        </a:p>
      </xdr:txBody>
    </xdr:sp>
    <xdr:clientData/>
  </xdr:twoCellAnchor>
  <xdr:twoCellAnchor>
    <xdr:from>
      <xdr:col>0</xdr:col>
      <xdr:colOff>59267</xdr:colOff>
      <xdr:row>6</xdr:row>
      <xdr:rowOff>101601</xdr:rowOff>
    </xdr:from>
    <xdr:to>
      <xdr:col>1</xdr:col>
      <xdr:colOff>727710</xdr:colOff>
      <xdr:row>8</xdr:row>
      <xdr:rowOff>8467</xdr:rowOff>
    </xdr:to>
    <xdr:sp macro="" textlink="">
      <xdr:nvSpPr>
        <xdr:cNvPr id="17" name="TextBox 16">
          <a:extLst>
            <a:ext uri="{FF2B5EF4-FFF2-40B4-BE49-F238E27FC236}">
              <a16:creationId xmlns:a16="http://schemas.microsoft.com/office/drawing/2014/main" id="{40C98F74-AE6A-F87D-73BA-4C41B4CE4CFE}"/>
            </a:ext>
          </a:extLst>
        </xdr:cNvPr>
        <xdr:cNvSpPr txBox="1"/>
      </xdr:nvSpPr>
      <xdr:spPr>
        <a:xfrm>
          <a:off x="59267" y="1219201"/>
          <a:ext cx="863176" cy="279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lumMod val="95000"/>
                </a:schemeClr>
              </a:solidFill>
            </a:rPr>
            <a:t>🛒 Orders</a:t>
          </a:r>
          <a:br>
            <a:rPr lang="en-IN" sz="1200" b="1">
              <a:solidFill>
                <a:schemeClr val="bg1">
                  <a:lumMod val="95000"/>
                </a:schemeClr>
              </a:solidFill>
            </a:rPr>
          </a:br>
          <a:endParaRPr lang="en-IN" sz="1200" b="1">
            <a:solidFill>
              <a:schemeClr val="bg1">
                <a:lumMod val="95000"/>
              </a:schemeClr>
            </a:solidFill>
          </a:endParaRPr>
        </a:p>
      </xdr:txBody>
    </xdr:sp>
    <xdr:clientData/>
  </xdr:twoCellAnchor>
  <xdr:twoCellAnchor>
    <xdr:from>
      <xdr:col>0</xdr:col>
      <xdr:colOff>49657</xdr:colOff>
      <xdr:row>9</xdr:row>
      <xdr:rowOff>27561</xdr:rowOff>
    </xdr:from>
    <xdr:to>
      <xdr:col>1</xdr:col>
      <xdr:colOff>812081</xdr:colOff>
      <xdr:row>10</xdr:row>
      <xdr:rowOff>152040</xdr:rowOff>
    </xdr:to>
    <xdr:sp macro="" textlink="">
      <xdr:nvSpPr>
        <xdr:cNvPr id="21" name="TextBox 20">
          <a:extLst>
            <a:ext uri="{FF2B5EF4-FFF2-40B4-BE49-F238E27FC236}">
              <a16:creationId xmlns:a16="http://schemas.microsoft.com/office/drawing/2014/main" id="{F4235FA4-891B-4C59-8BD2-3DEAE89E792D}"/>
            </a:ext>
          </a:extLst>
        </xdr:cNvPr>
        <xdr:cNvSpPr txBox="1"/>
      </xdr:nvSpPr>
      <xdr:spPr>
        <a:xfrm>
          <a:off x="49657" y="1681263"/>
          <a:ext cx="951573" cy="308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lumMod val="95000"/>
                </a:schemeClr>
              </a:solidFill>
            </a:rPr>
            <a:t>📦Quantity</a:t>
          </a:r>
        </a:p>
      </xdr:txBody>
    </xdr:sp>
    <xdr:clientData/>
  </xdr:twoCellAnchor>
  <xdr:twoCellAnchor>
    <xdr:from>
      <xdr:col>0</xdr:col>
      <xdr:colOff>41612</xdr:colOff>
      <xdr:row>11</xdr:row>
      <xdr:rowOff>143394</xdr:rowOff>
    </xdr:from>
    <xdr:to>
      <xdr:col>1</xdr:col>
      <xdr:colOff>778214</xdr:colOff>
      <xdr:row>13</xdr:row>
      <xdr:rowOff>27382</xdr:rowOff>
    </xdr:to>
    <xdr:sp macro="" textlink="">
      <xdr:nvSpPr>
        <xdr:cNvPr id="22" name="TextBox 21">
          <a:extLst>
            <a:ext uri="{FF2B5EF4-FFF2-40B4-BE49-F238E27FC236}">
              <a16:creationId xmlns:a16="http://schemas.microsoft.com/office/drawing/2014/main" id="{F0D5B3D5-6460-4685-85BB-E314B15EE470}"/>
            </a:ext>
          </a:extLst>
        </xdr:cNvPr>
        <xdr:cNvSpPr txBox="1"/>
      </xdr:nvSpPr>
      <xdr:spPr>
        <a:xfrm>
          <a:off x="41612" y="2164585"/>
          <a:ext cx="925751" cy="251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lumMod val="95000"/>
                </a:schemeClr>
              </a:solidFill>
            </a:rPr>
            <a:t>💰Amount</a:t>
          </a:r>
        </a:p>
      </xdr:txBody>
    </xdr:sp>
    <xdr:clientData/>
  </xdr:twoCellAnchor>
  <xdr:twoCellAnchor>
    <xdr:from>
      <xdr:col>0</xdr:col>
      <xdr:colOff>30803</xdr:colOff>
      <xdr:row>14</xdr:row>
      <xdr:rowOff>107627</xdr:rowOff>
    </xdr:from>
    <xdr:to>
      <xdr:col>1</xdr:col>
      <xdr:colOff>1080851</xdr:colOff>
      <xdr:row>16</xdr:row>
      <xdr:rowOff>25401</xdr:rowOff>
    </xdr:to>
    <xdr:sp macro="" textlink="">
      <xdr:nvSpPr>
        <xdr:cNvPr id="23" name="TextBox 22">
          <a:extLst>
            <a:ext uri="{FF2B5EF4-FFF2-40B4-BE49-F238E27FC236}">
              <a16:creationId xmlns:a16="http://schemas.microsoft.com/office/drawing/2014/main" id="{A1FF54B1-B5EC-4C73-9992-0538B7ACC019}"/>
            </a:ext>
          </a:extLst>
        </xdr:cNvPr>
        <xdr:cNvSpPr txBox="1"/>
      </xdr:nvSpPr>
      <xdr:spPr>
        <a:xfrm>
          <a:off x="30803" y="2680053"/>
          <a:ext cx="1239197" cy="285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lumMod val="95000"/>
                </a:schemeClr>
              </a:solidFill>
            </a:rPr>
            <a:t>⭐ Avg. Rating</a:t>
          </a:r>
        </a:p>
      </xdr:txBody>
    </xdr:sp>
    <xdr:clientData/>
  </xdr:twoCellAnchor>
  <xdr:twoCellAnchor>
    <xdr:from>
      <xdr:col>0</xdr:col>
      <xdr:colOff>27021</xdr:colOff>
      <xdr:row>17</xdr:row>
      <xdr:rowOff>88166</xdr:rowOff>
    </xdr:from>
    <xdr:to>
      <xdr:col>1</xdr:col>
      <xdr:colOff>1161554</xdr:colOff>
      <xdr:row>19</xdr:row>
      <xdr:rowOff>20717</xdr:rowOff>
    </xdr:to>
    <xdr:sp macro="" textlink="">
      <xdr:nvSpPr>
        <xdr:cNvPr id="24" name="TextBox 23">
          <a:extLst>
            <a:ext uri="{FF2B5EF4-FFF2-40B4-BE49-F238E27FC236}">
              <a16:creationId xmlns:a16="http://schemas.microsoft.com/office/drawing/2014/main" id="{2131B422-613B-4B5E-8F90-03F4017C3CDD}"/>
            </a:ext>
          </a:extLst>
        </xdr:cNvPr>
        <xdr:cNvSpPr txBox="1"/>
      </xdr:nvSpPr>
      <xdr:spPr>
        <a:xfrm>
          <a:off x="27021" y="3211826"/>
          <a:ext cx="1323682" cy="30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a:t>
          </a:r>
          <a:r>
            <a:rPr lang="en-IN" sz="1200" b="1" baseline="0">
              <a:solidFill>
                <a:schemeClr val="bg1">
                  <a:lumMod val="95000"/>
                </a:schemeClr>
              </a:solidFill>
            </a:rPr>
            <a:t>Delivery Days</a:t>
          </a:r>
          <a:endParaRPr lang="en-IN" sz="1200" b="1">
            <a:solidFill>
              <a:schemeClr val="bg1">
                <a:lumMod val="95000"/>
              </a:schemeClr>
            </a:solidFill>
          </a:endParaRPr>
        </a:p>
      </xdr:txBody>
    </xdr:sp>
    <xdr:clientData/>
  </xdr:twoCellAnchor>
  <xdr:twoCellAnchor>
    <xdr:from>
      <xdr:col>0</xdr:col>
      <xdr:colOff>71994</xdr:colOff>
      <xdr:row>20</xdr:row>
      <xdr:rowOff>57973</xdr:rowOff>
    </xdr:from>
    <xdr:to>
      <xdr:col>1</xdr:col>
      <xdr:colOff>639684</xdr:colOff>
      <xdr:row>21</xdr:row>
      <xdr:rowOff>178882</xdr:rowOff>
    </xdr:to>
    <xdr:sp macro="" textlink="">
      <xdr:nvSpPr>
        <xdr:cNvPr id="25" name="TextBox 24">
          <a:extLst>
            <a:ext uri="{FF2B5EF4-FFF2-40B4-BE49-F238E27FC236}">
              <a16:creationId xmlns:a16="http://schemas.microsoft.com/office/drawing/2014/main" id="{841F4A8B-1BE7-4EBC-9274-DD3BDACB1599}"/>
            </a:ext>
          </a:extLst>
        </xdr:cNvPr>
        <xdr:cNvSpPr txBox="1"/>
      </xdr:nvSpPr>
      <xdr:spPr>
        <a:xfrm>
          <a:off x="71994" y="3732867"/>
          <a:ext cx="756839" cy="304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 </a:t>
          </a:r>
          <a:r>
            <a:rPr lang="en-IN" sz="1200" b="1" baseline="0">
              <a:solidFill>
                <a:schemeClr val="bg1">
                  <a:lumMod val="95000"/>
                </a:schemeClr>
              </a:solidFill>
            </a:rPr>
            <a:t>AOV</a:t>
          </a:r>
          <a:endParaRPr lang="en-IN" sz="1200" b="1">
            <a:solidFill>
              <a:schemeClr val="bg1">
                <a:lumMod val="95000"/>
              </a:schemeClr>
            </a:solidFill>
          </a:endParaRPr>
        </a:p>
      </xdr:txBody>
    </xdr:sp>
    <xdr:clientData/>
  </xdr:twoCellAnchor>
  <xdr:twoCellAnchor>
    <xdr:from>
      <xdr:col>3</xdr:col>
      <xdr:colOff>549274</xdr:colOff>
      <xdr:row>0</xdr:row>
      <xdr:rowOff>60325</xdr:rowOff>
    </xdr:from>
    <xdr:to>
      <xdr:col>10</xdr:col>
      <xdr:colOff>190499</xdr:colOff>
      <xdr:row>11</xdr:row>
      <xdr:rowOff>117475</xdr:rowOff>
    </xdr:to>
    <xdr:graphicFrame macro="">
      <xdr:nvGraphicFramePr>
        <xdr:cNvPr id="28" name="Chart 27">
          <a:extLst>
            <a:ext uri="{FF2B5EF4-FFF2-40B4-BE49-F238E27FC236}">
              <a16:creationId xmlns:a16="http://schemas.microsoft.com/office/drawing/2014/main" id="{32B12D99-56A1-4B80-BBB6-F7C8F091E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364067</xdr:colOff>
          <xdr:row>1</xdr:row>
          <xdr:rowOff>93133</xdr:rowOff>
        </xdr:from>
        <xdr:to>
          <xdr:col>16</xdr:col>
          <xdr:colOff>423332</xdr:colOff>
          <xdr:row>10</xdr:row>
          <xdr:rowOff>135466</xdr:rowOff>
        </xdr:to>
        <xdr:pic>
          <xdr:nvPicPr>
            <xdr:cNvPr id="34" name="Picture 33">
              <a:extLst>
                <a:ext uri="{FF2B5EF4-FFF2-40B4-BE49-F238E27FC236}">
                  <a16:creationId xmlns:a16="http://schemas.microsoft.com/office/drawing/2014/main" id="{E3D1A96F-6B6E-4B78-5E53-E5B49C05EE80}"/>
                </a:ext>
              </a:extLst>
            </xdr:cNvPr>
            <xdr:cNvPicPr>
              <a:picLocks noChangeAspect="1" noChangeArrowheads="1"/>
              <a:extLst>
                <a:ext uri="{84589F7E-364E-4C9E-8A38-B11213B215E9}">
                  <a14:cameraTool cellRange="'Pivot 2'!$H$4:$L$9" spid="_x0000_s4284"/>
                </a:ext>
              </a:extLst>
            </xdr:cNvPicPr>
          </xdr:nvPicPr>
          <xdr:blipFill>
            <a:blip xmlns:r="http://schemas.openxmlformats.org/officeDocument/2006/relationships" r:embed="rId3"/>
            <a:srcRect/>
            <a:stretch>
              <a:fillRect/>
            </a:stretch>
          </xdr:blipFill>
          <xdr:spPr bwMode="auto">
            <a:xfrm>
              <a:off x="6942667" y="279400"/>
              <a:ext cx="3716865" cy="171873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10</xdr:col>
      <xdr:colOff>270934</xdr:colOff>
      <xdr:row>0</xdr:row>
      <xdr:rowOff>0</xdr:rowOff>
    </xdr:from>
    <xdr:to>
      <xdr:col>10</xdr:col>
      <xdr:colOff>304800</xdr:colOff>
      <xdr:row>35</xdr:row>
      <xdr:rowOff>67734</xdr:rowOff>
    </xdr:to>
    <xdr:cxnSp macro="">
      <xdr:nvCxnSpPr>
        <xdr:cNvPr id="5" name="Straight Connector 4">
          <a:extLst>
            <a:ext uri="{FF2B5EF4-FFF2-40B4-BE49-F238E27FC236}">
              <a16:creationId xmlns:a16="http://schemas.microsoft.com/office/drawing/2014/main" id="{98CF7DBD-607A-82FD-05A2-44D1C1061495}"/>
            </a:ext>
          </a:extLst>
        </xdr:cNvPr>
        <xdr:cNvCxnSpPr/>
      </xdr:nvCxnSpPr>
      <xdr:spPr>
        <a:xfrm>
          <a:off x="6849534" y="0"/>
          <a:ext cx="33866" cy="6587067"/>
        </a:xfrm>
        <a:prstGeom prst="line">
          <a:avLst/>
        </a:prstGeom>
        <a:ln w="57150">
          <a:solidFill>
            <a:srgbClr val="1D3D38"/>
          </a:solidFill>
        </a:ln>
        <a:effectLst>
          <a:outerShdw blurRad="50800" dist="38100" dir="10800000" algn="r" rotWithShape="0">
            <a:prstClr val="black">
              <a:alpha val="40000"/>
            </a:prstClr>
          </a:outerShdw>
        </a:effectLst>
      </xdr:spPr>
      <xdr:style>
        <a:lnRef idx="3">
          <a:schemeClr val="accent1"/>
        </a:lnRef>
        <a:fillRef idx="0">
          <a:schemeClr val="accent1"/>
        </a:fillRef>
        <a:effectRef idx="2">
          <a:schemeClr val="accent1"/>
        </a:effectRef>
        <a:fontRef idx="minor">
          <a:schemeClr val="tx1"/>
        </a:fontRef>
      </xdr:style>
    </xdr:cxnSp>
    <xdr:clientData/>
  </xdr:twoCellAnchor>
  <xdr:twoCellAnchor>
    <xdr:from>
      <xdr:col>0</xdr:col>
      <xdr:colOff>0</xdr:colOff>
      <xdr:row>0</xdr:row>
      <xdr:rowOff>0</xdr:rowOff>
    </xdr:from>
    <xdr:to>
      <xdr:col>0</xdr:col>
      <xdr:colOff>8467</xdr:colOff>
      <xdr:row>34</xdr:row>
      <xdr:rowOff>152399</xdr:rowOff>
    </xdr:to>
    <xdr:cxnSp macro="">
      <xdr:nvCxnSpPr>
        <xdr:cNvPr id="7" name="Straight Connector 6">
          <a:extLst>
            <a:ext uri="{FF2B5EF4-FFF2-40B4-BE49-F238E27FC236}">
              <a16:creationId xmlns:a16="http://schemas.microsoft.com/office/drawing/2014/main" id="{2F988D7B-6792-4D04-9C43-31B126BE6939}"/>
            </a:ext>
          </a:extLst>
        </xdr:cNvPr>
        <xdr:cNvCxnSpPr/>
      </xdr:nvCxnSpPr>
      <xdr:spPr>
        <a:xfrm>
          <a:off x="0" y="0"/>
          <a:ext cx="8467" cy="6485466"/>
        </a:xfrm>
        <a:prstGeom prst="line">
          <a:avLst/>
        </a:prstGeom>
        <a:ln w="57150">
          <a:solidFill>
            <a:srgbClr val="1D3D38"/>
          </a:solidFill>
        </a:ln>
        <a:effectLst>
          <a:outerShdw blurRad="50800" dist="38100" dir="10800000" algn="r" rotWithShape="0">
            <a:prstClr val="black">
              <a:alpha val="40000"/>
            </a:prstClr>
          </a:outerShdw>
        </a:effectLst>
      </xdr:spPr>
      <xdr:style>
        <a:lnRef idx="3">
          <a:schemeClr val="accent1"/>
        </a:lnRef>
        <a:fillRef idx="0">
          <a:schemeClr val="accent1"/>
        </a:fillRef>
        <a:effectRef idx="2">
          <a:schemeClr val="accent1"/>
        </a:effectRef>
        <a:fontRef idx="minor">
          <a:schemeClr val="tx1"/>
        </a:fontRef>
      </xdr:style>
    </xdr:cxnSp>
    <xdr:clientData/>
  </xdr:twoCellAnchor>
  <xdr:twoCellAnchor>
    <xdr:from>
      <xdr:col>17</xdr:col>
      <xdr:colOff>0</xdr:colOff>
      <xdr:row>0</xdr:row>
      <xdr:rowOff>0</xdr:rowOff>
    </xdr:from>
    <xdr:to>
      <xdr:col>17</xdr:col>
      <xdr:colOff>59267</xdr:colOff>
      <xdr:row>35</xdr:row>
      <xdr:rowOff>50800</xdr:rowOff>
    </xdr:to>
    <xdr:cxnSp macro="">
      <xdr:nvCxnSpPr>
        <xdr:cNvPr id="8" name="Straight Connector 7">
          <a:extLst>
            <a:ext uri="{FF2B5EF4-FFF2-40B4-BE49-F238E27FC236}">
              <a16:creationId xmlns:a16="http://schemas.microsoft.com/office/drawing/2014/main" id="{C4E47584-DDF7-4CA5-A127-FD98D1817C4C}"/>
            </a:ext>
          </a:extLst>
        </xdr:cNvPr>
        <xdr:cNvCxnSpPr/>
      </xdr:nvCxnSpPr>
      <xdr:spPr>
        <a:xfrm>
          <a:off x="10845800" y="0"/>
          <a:ext cx="59267" cy="6570133"/>
        </a:xfrm>
        <a:prstGeom prst="line">
          <a:avLst/>
        </a:prstGeom>
        <a:ln w="57150">
          <a:solidFill>
            <a:srgbClr val="1D3D38"/>
          </a:solidFill>
        </a:ln>
        <a:effectLst>
          <a:outerShdw blurRad="50800" dist="38100" dir="10800000" algn="r" rotWithShape="0">
            <a:prstClr val="black">
              <a:alpha val="40000"/>
            </a:prstClr>
          </a:outerShdw>
        </a:effectLst>
      </xdr:spPr>
      <xdr:style>
        <a:lnRef idx="3">
          <a:schemeClr val="accent1"/>
        </a:lnRef>
        <a:fillRef idx="0">
          <a:schemeClr val="accent1"/>
        </a:fillRef>
        <a:effectRef idx="2">
          <a:schemeClr val="accent1"/>
        </a:effectRef>
        <a:fontRef idx="minor">
          <a:schemeClr val="tx1"/>
        </a:fontRef>
      </xdr:style>
    </xdr:cxnSp>
    <xdr:clientData/>
  </xdr:twoCellAnchor>
  <xdr:twoCellAnchor>
    <xdr:from>
      <xdr:col>17</xdr:col>
      <xdr:colOff>101598</xdr:colOff>
      <xdr:row>0</xdr:row>
      <xdr:rowOff>42333</xdr:rowOff>
    </xdr:from>
    <xdr:to>
      <xdr:col>23</xdr:col>
      <xdr:colOff>584200</xdr:colOff>
      <xdr:row>11</xdr:row>
      <xdr:rowOff>119380</xdr:rowOff>
    </xdr:to>
    <xdr:graphicFrame macro="">
      <xdr:nvGraphicFramePr>
        <xdr:cNvPr id="30" name="Chart 29">
          <a:extLst>
            <a:ext uri="{FF2B5EF4-FFF2-40B4-BE49-F238E27FC236}">
              <a16:creationId xmlns:a16="http://schemas.microsoft.com/office/drawing/2014/main" id="{018ACC84-84F9-4CAD-B67F-03F22705E5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482600</xdr:colOff>
      <xdr:row>0</xdr:row>
      <xdr:rowOff>42333</xdr:rowOff>
    </xdr:from>
    <xdr:to>
      <xdr:col>15</xdr:col>
      <xdr:colOff>389467</xdr:colOff>
      <xdr:row>1</xdr:row>
      <xdr:rowOff>135466</xdr:rowOff>
    </xdr:to>
    <xdr:sp macro="" textlink="">
      <xdr:nvSpPr>
        <xdr:cNvPr id="31" name="TextBox 30">
          <a:extLst>
            <a:ext uri="{FF2B5EF4-FFF2-40B4-BE49-F238E27FC236}">
              <a16:creationId xmlns:a16="http://schemas.microsoft.com/office/drawing/2014/main" id="{8B1D5080-0C87-086D-A2F0-934527B4C4DD}"/>
            </a:ext>
          </a:extLst>
        </xdr:cNvPr>
        <xdr:cNvSpPr txBox="1"/>
      </xdr:nvSpPr>
      <xdr:spPr>
        <a:xfrm>
          <a:off x="7670800" y="42333"/>
          <a:ext cx="2345267"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012B22"/>
              </a:solidFill>
            </a:rPr>
            <a:t>Preferred Mode</a:t>
          </a:r>
          <a:r>
            <a:rPr lang="en-IN" sz="1400" baseline="0">
              <a:solidFill>
                <a:srgbClr val="012B22"/>
              </a:solidFill>
            </a:rPr>
            <a:t> of</a:t>
          </a:r>
          <a:r>
            <a:rPr lang="en-IN" sz="1400">
              <a:solidFill>
                <a:srgbClr val="012B22"/>
              </a:solidFill>
            </a:rPr>
            <a:t> Purchase </a:t>
          </a:r>
        </a:p>
      </xdr:txBody>
    </xdr:sp>
    <xdr:clientData/>
  </xdr:twoCellAnchor>
  <xdr:twoCellAnchor>
    <xdr:from>
      <xdr:col>3</xdr:col>
      <xdr:colOff>491068</xdr:colOff>
      <xdr:row>11</xdr:row>
      <xdr:rowOff>127001</xdr:rowOff>
    </xdr:from>
    <xdr:to>
      <xdr:col>10</xdr:col>
      <xdr:colOff>296334</xdr:colOff>
      <xdr:row>35</xdr:row>
      <xdr:rowOff>59267</xdr:rowOff>
    </xdr:to>
    <xdr:graphicFrame macro="">
      <xdr:nvGraphicFramePr>
        <xdr:cNvPr id="4" name="Chart 3">
          <a:extLst>
            <a:ext uri="{FF2B5EF4-FFF2-40B4-BE49-F238E27FC236}">
              <a16:creationId xmlns:a16="http://schemas.microsoft.com/office/drawing/2014/main" id="{E54BE019-78A9-4EC2-ABE4-7164C01D1B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237067</xdr:colOff>
      <xdr:row>26</xdr:row>
      <xdr:rowOff>101600</xdr:rowOff>
    </xdr:from>
    <xdr:to>
      <xdr:col>8</xdr:col>
      <xdr:colOff>287866</xdr:colOff>
      <xdr:row>35</xdr:row>
      <xdr:rowOff>50799</xdr:rowOff>
    </xdr:to>
    <xdr:graphicFrame macro="">
      <xdr:nvGraphicFramePr>
        <xdr:cNvPr id="18" name="Chart 17">
          <a:extLst>
            <a:ext uri="{FF2B5EF4-FFF2-40B4-BE49-F238E27FC236}">
              <a16:creationId xmlns:a16="http://schemas.microsoft.com/office/drawing/2014/main" id="{630F9B77-5AEB-45B0-9833-10B288742B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330200</xdr:colOff>
      <xdr:row>12</xdr:row>
      <xdr:rowOff>16933</xdr:rowOff>
    </xdr:from>
    <xdr:to>
      <xdr:col>17</xdr:col>
      <xdr:colOff>0</xdr:colOff>
      <xdr:row>35</xdr:row>
      <xdr:rowOff>67734</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1F257611-3389-41A2-B907-BF76B56F74A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898640" y="2211493"/>
              <a:ext cx="3937000" cy="425704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474133</xdr:colOff>
      <xdr:row>17</xdr:row>
      <xdr:rowOff>0</xdr:rowOff>
    </xdr:from>
    <xdr:to>
      <xdr:col>16</xdr:col>
      <xdr:colOff>516466</xdr:colOff>
      <xdr:row>26</xdr:row>
      <xdr:rowOff>143934</xdr:rowOff>
    </xdr:to>
    <mc:AlternateContent xmlns:mc="http://schemas.openxmlformats.org/markup-compatibility/2006">
      <mc:Choice xmlns:cx4="http://schemas.microsoft.com/office/drawing/2016/5/10/chartex" Requires="cx4">
        <xdr:graphicFrame macro="">
          <xdr:nvGraphicFramePr>
            <xdr:cNvPr id="19" name="Chart 18">
              <a:extLst>
                <a:ext uri="{FF2B5EF4-FFF2-40B4-BE49-F238E27FC236}">
                  <a16:creationId xmlns:a16="http://schemas.microsoft.com/office/drawing/2014/main" id="{CFB5E796-17BB-4791-993A-B7FB585F1B1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480973" y="3108960"/>
              <a:ext cx="1261533" cy="178985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0</xdr:row>
      <xdr:rowOff>0</xdr:rowOff>
    </xdr:from>
    <xdr:to>
      <xdr:col>0</xdr:col>
      <xdr:colOff>59267</xdr:colOff>
      <xdr:row>35</xdr:row>
      <xdr:rowOff>50800</xdr:rowOff>
    </xdr:to>
    <xdr:cxnSp macro="">
      <xdr:nvCxnSpPr>
        <xdr:cNvPr id="20" name="Straight Connector 19">
          <a:extLst>
            <a:ext uri="{FF2B5EF4-FFF2-40B4-BE49-F238E27FC236}">
              <a16:creationId xmlns:a16="http://schemas.microsoft.com/office/drawing/2014/main" id="{547286E5-C0B2-4AF3-979E-B1C3666E99CE}"/>
            </a:ext>
          </a:extLst>
        </xdr:cNvPr>
        <xdr:cNvCxnSpPr/>
      </xdr:nvCxnSpPr>
      <xdr:spPr>
        <a:xfrm>
          <a:off x="0" y="0"/>
          <a:ext cx="59267" cy="6570133"/>
        </a:xfrm>
        <a:prstGeom prst="line">
          <a:avLst/>
        </a:prstGeom>
        <a:ln w="57150">
          <a:solidFill>
            <a:srgbClr val="1D3D38"/>
          </a:solidFill>
        </a:ln>
        <a:effectLst>
          <a:outerShdw blurRad="50800" dist="38100" dir="10800000" algn="r" rotWithShape="0">
            <a:prstClr val="black">
              <a:alpha val="40000"/>
            </a:prstClr>
          </a:outerShdw>
        </a:effectLst>
      </xdr:spPr>
      <xdr:style>
        <a:lnRef idx="3">
          <a:schemeClr val="accent1"/>
        </a:lnRef>
        <a:fillRef idx="0">
          <a:schemeClr val="accent1"/>
        </a:fillRef>
        <a:effectRef idx="2">
          <a:schemeClr val="accent1"/>
        </a:effectRef>
        <a:fontRef idx="minor">
          <a:schemeClr val="tx1"/>
        </a:fontRef>
      </xdr:style>
    </xdr:cxnSp>
    <xdr:clientData/>
  </xdr:twoCellAnchor>
  <xdr:twoCellAnchor>
    <xdr:from>
      <xdr:col>3</xdr:col>
      <xdr:colOff>455701</xdr:colOff>
      <xdr:row>11</xdr:row>
      <xdr:rowOff>173564</xdr:rowOff>
    </xdr:from>
    <xdr:to>
      <xdr:col>24</xdr:col>
      <xdr:colOff>38101</xdr:colOff>
      <xdr:row>11</xdr:row>
      <xdr:rowOff>173564</xdr:rowOff>
    </xdr:to>
    <xdr:cxnSp macro="">
      <xdr:nvCxnSpPr>
        <xdr:cNvPr id="26" name="Straight Connector 25">
          <a:extLst>
            <a:ext uri="{FF2B5EF4-FFF2-40B4-BE49-F238E27FC236}">
              <a16:creationId xmlns:a16="http://schemas.microsoft.com/office/drawing/2014/main" id="{C62BBF3C-BD6F-43EA-93CA-900951D87462}"/>
            </a:ext>
          </a:extLst>
        </xdr:cNvPr>
        <xdr:cNvCxnSpPr/>
      </xdr:nvCxnSpPr>
      <xdr:spPr>
        <a:xfrm rot="5400000">
          <a:off x="8959101" y="-3969503"/>
          <a:ext cx="0" cy="12384000"/>
        </a:xfrm>
        <a:prstGeom prst="line">
          <a:avLst/>
        </a:prstGeom>
        <a:ln w="57150">
          <a:solidFill>
            <a:srgbClr val="1D3D38"/>
          </a:solidFill>
        </a:ln>
        <a:effectLst>
          <a:outerShdw blurRad="50800" dist="38100" dir="10800000" algn="r" rotWithShape="0">
            <a:prstClr val="black">
              <a:alpha val="40000"/>
            </a:prstClr>
          </a:outerShdw>
        </a:effectLst>
      </xdr:spPr>
      <xdr:style>
        <a:lnRef idx="3">
          <a:schemeClr val="accent1"/>
        </a:lnRef>
        <a:fillRef idx="0">
          <a:schemeClr val="accent1"/>
        </a:fillRef>
        <a:effectRef idx="2">
          <a:schemeClr val="accent1"/>
        </a:effectRef>
        <a:fontRef idx="minor">
          <a:schemeClr val="tx1"/>
        </a:fontRef>
      </xdr:style>
    </xdr:cxnSp>
    <xdr:clientData/>
  </xdr:twoCellAnchor>
  <xdr:twoCellAnchor>
    <xdr:from>
      <xdr:col>17</xdr:col>
      <xdr:colOff>63500</xdr:colOff>
      <xdr:row>23</xdr:row>
      <xdr:rowOff>8467</xdr:rowOff>
    </xdr:from>
    <xdr:to>
      <xdr:col>24</xdr:col>
      <xdr:colOff>25400</xdr:colOff>
      <xdr:row>23</xdr:row>
      <xdr:rowOff>38101</xdr:rowOff>
    </xdr:to>
    <xdr:cxnSp macro="">
      <xdr:nvCxnSpPr>
        <xdr:cNvPr id="29" name="Straight Connector 28">
          <a:extLst>
            <a:ext uri="{FF2B5EF4-FFF2-40B4-BE49-F238E27FC236}">
              <a16:creationId xmlns:a16="http://schemas.microsoft.com/office/drawing/2014/main" id="{ED94E83F-4E12-4D56-992A-AD8C51AF9306}"/>
            </a:ext>
          </a:extLst>
        </xdr:cNvPr>
        <xdr:cNvCxnSpPr/>
      </xdr:nvCxnSpPr>
      <xdr:spPr>
        <a:xfrm flipV="1">
          <a:off x="10909300" y="4292600"/>
          <a:ext cx="4229100" cy="29634"/>
        </a:xfrm>
        <a:prstGeom prst="line">
          <a:avLst/>
        </a:prstGeom>
        <a:ln w="57150">
          <a:solidFill>
            <a:srgbClr val="1D3D38"/>
          </a:solidFill>
        </a:ln>
        <a:effectLst>
          <a:outerShdw blurRad="50800" dist="38100" dir="10800000" algn="r" rotWithShape="0">
            <a:prstClr val="black">
              <a:alpha val="40000"/>
            </a:prstClr>
          </a:outerShdw>
        </a:effectLst>
      </xdr:spPr>
      <xdr:style>
        <a:lnRef idx="3">
          <a:schemeClr val="accent1"/>
        </a:lnRef>
        <a:fillRef idx="0">
          <a:schemeClr val="accent1"/>
        </a:fillRef>
        <a:effectRef idx="2">
          <a:schemeClr val="accent1"/>
        </a:effectRef>
        <a:fontRef idx="minor">
          <a:schemeClr val="tx1"/>
        </a:fontRef>
      </xdr:style>
    </xdr:cxnSp>
    <xdr:clientData/>
  </xdr:twoCellAnchor>
  <xdr:twoCellAnchor>
    <xdr:from>
      <xdr:col>17</xdr:col>
      <xdr:colOff>33867</xdr:colOff>
      <xdr:row>12</xdr:row>
      <xdr:rowOff>8467</xdr:rowOff>
    </xdr:from>
    <xdr:to>
      <xdr:col>24</xdr:col>
      <xdr:colOff>16933</xdr:colOff>
      <xdr:row>22</xdr:row>
      <xdr:rowOff>127000</xdr:rowOff>
    </xdr:to>
    <xdr:graphicFrame macro="">
      <xdr:nvGraphicFramePr>
        <xdr:cNvPr id="35" name="Chart 34">
          <a:extLst>
            <a:ext uri="{FF2B5EF4-FFF2-40B4-BE49-F238E27FC236}">
              <a16:creationId xmlns:a16="http://schemas.microsoft.com/office/drawing/2014/main" id="{FA3087A4-49E7-432B-B2F9-667C8DCDA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50800</xdr:colOff>
      <xdr:row>23</xdr:row>
      <xdr:rowOff>42334</xdr:rowOff>
    </xdr:from>
    <xdr:to>
      <xdr:col>24</xdr:col>
      <xdr:colOff>16933</xdr:colOff>
      <xdr:row>34</xdr:row>
      <xdr:rowOff>59266</xdr:rowOff>
    </xdr:to>
    <xdr:graphicFrame macro="">
      <xdr:nvGraphicFramePr>
        <xdr:cNvPr id="36" name="Chart 35">
          <a:extLst>
            <a:ext uri="{FF2B5EF4-FFF2-40B4-BE49-F238E27FC236}">
              <a16:creationId xmlns:a16="http://schemas.microsoft.com/office/drawing/2014/main" id="{E3D5B7E4-EC01-4B2E-9E73-67A8919DB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xdr:col>
      <xdr:colOff>1151467</xdr:colOff>
      <xdr:row>25</xdr:row>
      <xdr:rowOff>118533</xdr:rowOff>
    </xdr:from>
    <xdr:to>
      <xdr:col>3</xdr:col>
      <xdr:colOff>423333</xdr:colOff>
      <xdr:row>35</xdr:row>
      <xdr:rowOff>42334</xdr:rowOff>
    </xdr:to>
    <mc:AlternateContent xmlns:mc="http://schemas.openxmlformats.org/markup-compatibility/2006" xmlns:a14="http://schemas.microsoft.com/office/drawing/2010/main">
      <mc:Choice Requires="a14">
        <xdr:graphicFrame macro="">
          <xdr:nvGraphicFramePr>
            <xdr:cNvPr id="32" name="Order Mode 1">
              <a:extLst>
                <a:ext uri="{FF2B5EF4-FFF2-40B4-BE49-F238E27FC236}">
                  <a16:creationId xmlns:a16="http://schemas.microsoft.com/office/drawing/2014/main" id="{5B77DBE2-D091-4A3F-9D08-630E5CC24C1C}"/>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1346200" y="4775200"/>
              <a:ext cx="1388533" cy="1786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98539</xdr:colOff>
      <xdr:row>25</xdr:row>
      <xdr:rowOff>120154</xdr:rowOff>
    </xdr:from>
    <xdr:to>
      <xdr:col>1</xdr:col>
      <xdr:colOff>1139938</xdr:colOff>
      <xdr:row>33</xdr:row>
      <xdr:rowOff>69354</xdr:rowOff>
    </xdr:to>
    <mc:AlternateContent xmlns:mc="http://schemas.openxmlformats.org/markup-compatibility/2006" xmlns:a14="http://schemas.microsoft.com/office/drawing/2010/main">
      <mc:Choice Requires="a14">
        <xdr:graphicFrame macro="">
          <xdr:nvGraphicFramePr>
            <xdr:cNvPr id="33" name="Gender Value 1">
              <a:extLst>
                <a:ext uri="{FF2B5EF4-FFF2-40B4-BE49-F238E27FC236}">
                  <a16:creationId xmlns:a16="http://schemas.microsoft.com/office/drawing/2014/main" id="{71DD4994-C4AB-45D6-B2B7-A6C1632849FF}"/>
                </a:ext>
              </a:extLst>
            </xdr:cNvPr>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mlns="">
        <xdr:sp macro="" textlink="">
          <xdr:nvSpPr>
            <xdr:cNvPr id="0" name=""/>
            <xdr:cNvSpPr>
              <a:spLocks noTextEdit="1"/>
            </xdr:cNvSpPr>
          </xdr:nvSpPr>
          <xdr:spPr>
            <a:xfrm>
              <a:off x="98539" y="4776821"/>
              <a:ext cx="1236132" cy="1439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150058</xdr:colOff>
      <xdr:row>24</xdr:row>
      <xdr:rowOff>30804</xdr:rowOff>
    </xdr:from>
    <xdr:to>
      <xdr:col>1</xdr:col>
      <xdr:colOff>1081391</xdr:colOff>
      <xdr:row>25</xdr:row>
      <xdr:rowOff>149338</xdr:rowOff>
    </xdr:to>
    <xdr:sp macro="" textlink="">
      <xdr:nvSpPr>
        <xdr:cNvPr id="37" name="TextBox 36">
          <a:extLst>
            <a:ext uri="{FF2B5EF4-FFF2-40B4-BE49-F238E27FC236}">
              <a16:creationId xmlns:a16="http://schemas.microsoft.com/office/drawing/2014/main" id="{013DAA52-849E-EF10-345C-36BCC503BB49}"/>
            </a:ext>
          </a:extLst>
        </xdr:cNvPr>
        <xdr:cNvSpPr txBox="1"/>
      </xdr:nvSpPr>
      <xdr:spPr>
        <a:xfrm>
          <a:off x="150058" y="4440676"/>
          <a:ext cx="1120482" cy="302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GENDER</a:t>
          </a:r>
        </a:p>
      </xdr:txBody>
    </xdr:sp>
    <xdr:clientData/>
  </xdr:twoCellAnchor>
  <xdr:twoCellAnchor>
    <xdr:from>
      <xdr:col>1</xdr:col>
      <xdr:colOff>1202267</xdr:colOff>
      <xdr:row>24</xdr:row>
      <xdr:rowOff>50800</xdr:rowOff>
    </xdr:from>
    <xdr:to>
      <xdr:col>3</xdr:col>
      <xdr:colOff>567267</xdr:colOff>
      <xdr:row>25</xdr:row>
      <xdr:rowOff>160866</xdr:rowOff>
    </xdr:to>
    <xdr:sp macro="" textlink="">
      <xdr:nvSpPr>
        <xdr:cNvPr id="39" name="TextBox 38">
          <a:extLst>
            <a:ext uri="{FF2B5EF4-FFF2-40B4-BE49-F238E27FC236}">
              <a16:creationId xmlns:a16="http://schemas.microsoft.com/office/drawing/2014/main" id="{65EF3276-D9DD-6264-517A-96E8E2C1EFA4}"/>
            </a:ext>
          </a:extLst>
        </xdr:cNvPr>
        <xdr:cNvSpPr txBox="1"/>
      </xdr:nvSpPr>
      <xdr:spPr>
        <a:xfrm>
          <a:off x="1397000" y="4521200"/>
          <a:ext cx="1481667"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ORDER MODE</a:t>
          </a:r>
        </a:p>
      </xdr:txBody>
    </xdr:sp>
    <xdr:clientData/>
  </xdr:twoCellAnchor>
  <xdr:twoCellAnchor>
    <xdr:from>
      <xdr:col>1</xdr:col>
      <xdr:colOff>186266</xdr:colOff>
      <xdr:row>5</xdr:row>
      <xdr:rowOff>101600</xdr:rowOff>
    </xdr:from>
    <xdr:to>
      <xdr:col>1</xdr:col>
      <xdr:colOff>1662266</xdr:colOff>
      <xdr:row>5</xdr:row>
      <xdr:rowOff>101600</xdr:rowOff>
    </xdr:to>
    <xdr:cxnSp macro="">
      <xdr:nvCxnSpPr>
        <xdr:cNvPr id="41" name="Straight Connector 40">
          <a:extLst>
            <a:ext uri="{FF2B5EF4-FFF2-40B4-BE49-F238E27FC236}">
              <a16:creationId xmlns:a16="http://schemas.microsoft.com/office/drawing/2014/main" id="{A5D67C26-EFBA-D08E-286A-23A8C22C5C2C}"/>
            </a:ext>
          </a:extLst>
        </xdr:cNvPr>
        <xdr:cNvCxnSpPr/>
      </xdr:nvCxnSpPr>
      <xdr:spPr>
        <a:xfrm flipV="1">
          <a:off x="380999" y="1032933"/>
          <a:ext cx="1476000" cy="0"/>
        </a:xfrm>
        <a:prstGeom prst="line">
          <a:avLst/>
        </a:prstGeom>
        <a:ln>
          <a:solidFill>
            <a:srgbClr val="DCEBC8"/>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76200</xdr:colOff>
      <xdr:row>33</xdr:row>
      <xdr:rowOff>135465</xdr:rowOff>
    </xdr:from>
    <xdr:to>
      <xdr:col>23</xdr:col>
      <xdr:colOff>270934</xdr:colOff>
      <xdr:row>35</xdr:row>
      <xdr:rowOff>50799</xdr:rowOff>
    </xdr:to>
    <xdr:sp macro="" textlink="">
      <xdr:nvSpPr>
        <xdr:cNvPr id="38" name="TextBox 37">
          <a:extLst>
            <a:ext uri="{FF2B5EF4-FFF2-40B4-BE49-F238E27FC236}">
              <a16:creationId xmlns:a16="http://schemas.microsoft.com/office/drawing/2014/main" id="{9D9C58E3-34E8-07A7-38B6-B9005E4AC96C}"/>
            </a:ext>
          </a:extLst>
        </xdr:cNvPr>
        <xdr:cNvSpPr txBox="1"/>
      </xdr:nvSpPr>
      <xdr:spPr>
        <a:xfrm>
          <a:off x="11531600" y="6282265"/>
          <a:ext cx="3242734" cy="28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dirty="0">
              <a:solidFill>
                <a:srgbClr val="012B22"/>
              </a:solidFill>
              <a:latin typeface="+mn-lt"/>
            </a:rPr>
            <a:t>73% of orders </a:t>
          </a:r>
          <a:r>
            <a:rPr lang="en-IN" sz="1400" b="0" i="0" u="none" strike="noStrike" baseline="0" dirty="0">
              <a:solidFill>
                <a:srgbClr val="012B22"/>
              </a:solidFill>
              <a:latin typeface="+mn-lt"/>
              <a:ea typeface="Calibri" panose="020F0502020204030204" pitchFamily="34" charset="0"/>
              <a:cs typeface="Calibri" panose="020F0502020204030204" pitchFamily="34" charset="0"/>
            </a:rPr>
            <a:t>received</a:t>
          </a:r>
          <a:r>
            <a:rPr lang="en-IN" sz="1400" dirty="0">
              <a:solidFill>
                <a:srgbClr val="012B22"/>
              </a:solidFill>
              <a:latin typeface="+mn-lt"/>
            </a:rPr>
            <a:t> 4★ or 5★ ratings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kan gupta" refreshedDate="46175.646919328705" createdVersion="8" refreshedVersion="8" minRefreshableVersion="3" recordCount="2400" xr:uid="{73AD570B-54C7-4055-A339-D2032AE500BE}">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6694636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s v=""/>
    <x v="0"/>
    <x v="0"/>
    <x v="0"/>
    <x v="0"/>
    <x v="0"/>
    <x v="0"/>
    <x v="0"/>
  </r>
  <r>
    <x v="1"/>
    <x v="1"/>
    <x v="1"/>
    <n v="30.6"/>
    <n v="61.2"/>
    <x v="0"/>
    <d v="2025-01-03T00:00:00"/>
    <s v="M"/>
    <x v="0"/>
    <x v="0"/>
    <x v="0"/>
    <x v="1"/>
    <x v="1"/>
    <x v="0"/>
    <x v="1"/>
  </r>
  <r>
    <x v="2"/>
    <x v="2"/>
    <x v="2"/>
    <n v="109.4"/>
    <n v="328.20000000000005"/>
    <x v="0"/>
    <d v="2025-01-04T00:00:00"/>
    <s v="F"/>
    <x v="0"/>
    <x v="1"/>
    <x v="0"/>
    <x v="2"/>
    <x v="2"/>
    <x v="0"/>
    <x v="2"/>
  </r>
  <r>
    <x v="3"/>
    <x v="3"/>
    <x v="3"/>
    <n v="37.700000000000003"/>
    <n v="263.90000000000003"/>
    <x v="0"/>
    <d v="2025-01-02T00:00:00"/>
    <s v="F"/>
    <x v="0"/>
    <x v="0"/>
    <x v="0"/>
    <x v="2"/>
    <x v="3"/>
    <x v="0"/>
    <x v="2"/>
  </r>
  <r>
    <x v="4"/>
    <x v="4"/>
    <x v="2"/>
    <n v="56.7"/>
    <n v="170.10000000000002"/>
    <x v="0"/>
    <d v="2025-01-04T00:00:00"/>
    <s v="F"/>
    <x v="0"/>
    <x v="2"/>
    <x v="0"/>
    <x v="3"/>
    <x v="2"/>
    <x v="0"/>
    <x v="2"/>
  </r>
  <r>
    <x v="5"/>
    <x v="1"/>
    <x v="4"/>
    <n v="83.5"/>
    <n v="1002"/>
    <x v="0"/>
    <d v="2025-01-04T00:00:00"/>
    <s v="M"/>
    <x v="1"/>
    <x v="0"/>
    <x v="0"/>
    <x v="3"/>
    <x v="2"/>
    <x v="0"/>
    <x v="1"/>
  </r>
  <r>
    <x v="6"/>
    <x v="5"/>
    <x v="0"/>
    <n v="55.3"/>
    <n v="55.3"/>
    <x v="0"/>
    <d v="2025-01-02T00:00:00"/>
    <s v="F"/>
    <x v="0"/>
    <x v="0"/>
    <x v="0"/>
    <x v="3"/>
    <x v="3"/>
    <x v="0"/>
    <x v="2"/>
  </r>
  <r>
    <x v="7"/>
    <x v="6"/>
    <x v="1"/>
    <n v="40.299999999999997"/>
    <n v="80.599999999999994"/>
    <x v="0"/>
    <d v="2025-01-02T00:00:00"/>
    <s v="M"/>
    <x v="2"/>
    <x v="2"/>
    <x v="0"/>
    <x v="3"/>
    <x v="3"/>
    <x v="0"/>
    <x v="1"/>
  </r>
  <r>
    <x v="8"/>
    <x v="7"/>
    <x v="5"/>
    <n v="35.700000000000003"/>
    <n v="392.70000000000005"/>
    <x v="0"/>
    <d v="2025-01-02T00:00:00"/>
    <s v="F"/>
    <x v="0"/>
    <x v="0"/>
    <x v="0"/>
    <x v="3"/>
    <x v="3"/>
    <x v="0"/>
    <x v="2"/>
  </r>
  <r>
    <x v="9"/>
    <x v="8"/>
    <x v="3"/>
    <n v="22.4"/>
    <n v="156.79999999999998"/>
    <x v="0"/>
    <d v="2025-01-04T00:00:00"/>
    <s v="M"/>
    <x v="0"/>
    <x v="1"/>
    <x v="0"/>
    <x v="3"/>
    <x v="2"/>
    <x v="0"/>
    <x v="1"/>
  </r>
  <r>
    <x v="10"/>
    <x v="9"/>
    <x v="1"/>
    <n v="54.4"/>
    <n v="108.8"/>
    <x v="0"/>
    <d v="2025-01-07T00:00:00"/>
    <s v="F"/>
    <x v="0"/>
    <x v="0"/>
    <x v="0"/>
    <x v="3"/>
    <x v="4"/>
    <x v="0"/>
    <x v="2"/>
  </r>
  <r>
    <x v="11"/>
    <x v="9"/>
    <x v="1"/>
    <n v="49"/>
    <n v="98"/>
    <x v="0"/>
    <d v="2025-01-03T00:00:00"/>
    <s v="F"/>
    <x v="2"/>
    <x v="1"/>
    <x v="0"/>
    <x v="3"/>
    <x v="1"/>
    <x v="0"/>
    <x v="2"/>
  </r>
  <r>
    <x v="12"/>
    <x v="5"/>
    <x v="3"/>
    <n v="118.6"/>
    <n v="830.19999999999993"/>
    <x v="0"/>
    <d v="2025-01-05T00:00:00"/>
    <s v="F"/>
    <x v="1"/>
    <x v="0"/>
    <x v="0"/>
    <x v="4"/>
    <x v="5"/>
    <x v="0"/>
    <x v="2"/>
  </r>
  <r>
    <x v="13"/>
    <x v="6"/>
    <x v="6"/>
    <n v="88.4"/>
    <n v="2386.8000000000002"/>
    <x v="0"/>
    <d v="2025-01-08T00:00:00"/>
    <s v="M"/>
    <x v="3"/>
    <x v="0"/>
    <x v="0"/>
    <x v="5"/>
    <x v="6"/>
    <x v="0"/>
    <x v="1"/>
  </r>
  <r>
    <x v="14"/>
    <x v="10"/>
    <x v="0"/>
    <n v="66.7"/>
    <n v="66.7"/>
    <x v="0"/>
    <d v="2025-01-04T00:00:00"/>
    <s v="M"/>
    <x v="0"/>
    <x v="0"/>
    <x v="0"/>
    <x v="6"/>
    <x v="2"/>
    <x v="0"/>
    <x v="1"/>
  </r>
  <r>
    <x v="15"/>
    <x v="9"/>
    <x v="7"/>
    <n v="30.9"/>
    <n v="309"/>
    <x v="0"/>
    <d v="2025-01-02T00:00:00"/>
    <s v="M"/>
    <x v="1"/>
    <x v="2"/>
    <x v="0"/>
    <x v="6"/>
    <x v="3"/>
    <x v="0"/>
    <x v="1"/>
  </r>
  <r>
    <x v="16"/>
    <x v="4"/>
    <x v="2"/>
    <n v="31.1"/>
    <n v="93.300000000000011"/>
    <x v="0"/>
    <d v="2025-01-02T00:00:00"/>
    <s v="F"/>
    <x v="0"/>
    <x v="1"/>
    <x v="0"/>
    <x v="6"/>
    <x v="3"/>
    <x v="0"/>
    <x v="2"/>
  </r>
  <r>
    <x v="17"/>
    <x v="7"/>
    <x v="2"/>
    <n v="36.6"/>
    <n v="109.80000000000001"/>
    <x v="0"/>
    <d v="2025-01-04T00:00:00"/>
    <s v="F"/>
    <x v="0"/>
    <x v="0"/>
    <x v="0"/>
    <x v="7"/>
    <x v="2"/>
    <x v="0"/>
    <x v="2"/>
  </r>
  <r>
    <x v="18"/>
    <x v="6"/>
    <x v="8"/>
    <n v="51.1"/>
    <n v="408.8"/>
    <x v="0"/>
    <d v="2025-01-04T00:00:00"/>
    <s v="F"/>
    <x v="2"/>
    <x v="3"/>
    <x v="0"/>
    <x v="7"/>
    <x v="2"/>
    <x v="0"/>
    <x v="2"/>
  </r>
  <r>
    <x v="19"/>
    <x v="9"/>
    <x v="0"/>
    <n v="25.2"/>
    <n v="25.2"/>
    <x v="0"/>
    <d v="2025-01-02T00:00:00"/>
    <s v="F"/>
    <x v="1"/>
    <x v="2"/>
    <x v="0"/>
    <x v="8"/>
    <x v="3"/>
    <x v="0"/>
    <x v="2"/>
  </r>
  <r>
    <x v="20"/>
    <x v="9"/>
    <x v="9"/>
    <n v="43.8"/>
    <n v="219"/>
    <x v="0"/>
    <d v="2025-01-04T00:00:00"/>
    <s v="F"/>
    <x v="2"/>
    <x v="0"/>
    <x v="0"/>
    <x v="8"/>
    <x v="2"/>
    <x v="0"/>
    <x v="2"/>
  </r>
  <r>
    <x v="21"/>
    <x v="8"/>
    <x v="4"/>
    <n v="46.7"/>
    <n v="560.40000000000009"/>
    <x v="0"/>
    <d v="2025-01-02T00:00:00"/>
    <s v="F"/>
    <x v="1"/>
    <x v="1"/>
    <x v="0"/>
    <x v="8"/>
    <x v="3"/>
    <x v="0"/>
    <x v="2"/>
  </r>
  <r>
    <x v="22"/>
    <x v="3"/>
    <x v="10"/>
    <n v="79.900000000000006"/>
    <n v="1518.1000000000001"/>
    <x v="0"/>
    <d v="2025-01-02T00:00:00"/>
    <s v="M"/>
    <x v="0"/>
    <x v="2"/>
    <x v="0"/>
    <x v="8"/>
    <x v="3"/>
    <x v="0"/>
    <x v="1"/>
  </r>
  <r>
    <x v="23"/>
    <x v="11"/>
    <x v="8"/>
    <n v="26.4"/>
    <n v="211.2"/>
    <x v="0"/>
    <d v="2025-01-02T00:00:00"/>
    <s v="F"/>
    <x v="3"/>
    <x v="0"/>
    <x v="0"/>
    <x v="8"/>
    <x v="3"/>
    <x v="0"/>
    <x v="2"/>
  </r>
  <r>
    <x v="24"/>
    <x v="12"/>
    <x v="8"/>
    <n v="88.8"/>
    <n v="710.4"/>
    <x v="0"/>
    <d v="2025-01-02T00:00:00"/>
    <s v="F"/>
    <x v="4"/>
    <x v="0"/>
    <x v="0"/>
    <x v="8"/>
    <x v="3"/>
    <x v="0"/>
    <x v="2"/>
  </r>
  <r>
    <x v="25"/>
    <x v="0"/>
    <x v="7"/>
    <n v="17.5"/>
    <n v="175"/>
    <x v="0"/>
    <d v="2025-01-02T00:00:00"/>
    <s v="F"/>
    <x v="2"/>
    <x v="0"/>
    <x v="0"/>
    <x v="9"/>
    <x v="3"/>
    <x v="0"/>
    <x v="2"/>
  </r>
  <r>
    <x v="26"/>
    <x v="1"/>
    <x v="11"/>
    <n v="38.700000000000003"/>
    <n v="348.3"/>
    <x v="0"/>
    <d v="2025-01-04T00:00:00"/>
    <s v="M"/>
    <x v="1"/>
    <x v="0"/>
    <x v="0"/>
    <x v="10"/>
    <x v="2"/>
    <x v="0"/>
    <x v="1"/>
  </r>
  <r>
    <x v="27"/>
    <x v="13"/>
    <x v="12"/>
    <n v="57.2"/>
    <n v="228.8"/>
    <x v="0"/>
    <d v="2025-01-03T00:00:00"/>
    <s v=""/>
    <x v="1"/>
    <x v="2"/>
    <x v="0"/>
    <x v="11"/>
    <x v="1"/>
    <x v="0"/>
    <x v="0"/>
  </r>
  <r>
    <x v="28"/>
    <x v="6"/>
    <x v="9"/>
    <n v="50.9"/>
    <n v="254.5"/>
    <x v="0"/>
    <d v="2025-01-07T00:00:00"/>
    <s v=""/>
    <x v="1"/>
    <x v="2"/>
    <x v="0"/>
    <x v="12"/>
    <x v="4"/>
    <x v="0"/>
    <x v="0"/>
  </r>
  <r>
    <x v="29"/>
    <x v="14"/>
    <x v="3"/>
    <n v="41"/>
    <n v="287"/>
    <x v="0"/>
    <d v="2025-01-05T00:00:00"/>
    <s v="F"/>
    <x v="1"/>
    <x v="0"/>
    <x v="0"/>
    <x v="13"/>
    <x v="5"/>
    <x v="0"/>
    <x v="2"/>
  </r>
  <r>
    <x v="30"/>
    <x v="8"/>
    <x v="3"/>
    <n v="19.100000000000001"/>
    <n v="133.70000000000002"/>
    <x v="0"/>
    <d v="2025-01-05T00:00:00"/>
    <s v="M"/>
    <x v="0"/>
    <x v="2"/>
    <x v="0"/>
    <x v="14"/>
    <x v="5"/>
    <x v="0"/>
    <x v="1"/>
  </r>
  <r>
    <x v="31"/>
    <x v="2"/>
    <x v="9"/>
    <n v="166.1"/>
    <n v="830.5"/>
    <x v="0"/>
    <d v="2025-01-04T00:00:00"/>
    <s v="M"/>
    <x v="0"/>
    <x v="0"/>
    <x v="0"/>
    <x v="15"/>
    <x v="2"/>
    <x v="0"/>
    <x v="1"/>
  </r>
  <r>
    <x v="32"/>
    <x v="4"/>
    <x v="2"/>
    <n v="29.9"/>
    <n v="89.699999999999989"/>
    <x v="0"/>
    <d v="2025-01-02T00:00:00"/>
    <s v="M"/>
    <x v="3"/>
    <x v="0"/>
    <x v="0"/>
    <x v="3"/>
    <x v="3"/>
    <x v="0"/>
    <x v="1"/>
  </r>
  <r>
    <x v="33"/>
    <x v="10"/>
    <x v="13"/>
    <n v="21.7"/>
    <n v="130.19999999999999"/>
    <x v="0"/>
    <d v="2025-01-03T00:00:00"/>
    <s v="O"/>
    <x v="2"/>
    <x v="2"/>
    <x v="0"/>
    <x v="3"/>
    <x v="1"/>
    <x v="0"/>
    <x v="3"/>
  </r>
  <r>
    <x v="34"/>
    <x v="11"/>
    <x v="1"/>
    <n v="32"/>
    <n v="64"/>
    <x v="0"/>
    <d v="2025-01-04T00:00:00"/>
    <s v="M"/>
    <x v="0"/>
    <x v="2"/>
    <x v="0"/>
    <x v="3"/>
    <x v="2"/>
    <x v="0"/>
    <x v="1"/>
  </r>
  <r>
    <x v="35"/>
    <x v="8"/>
    <x v="1"/>
    <n v="15.8"/>
    <n v="31.6"/>
    <x v="0"/>
    <d v="2025-01-02T00:00:00"/>
    <s v="M"/>
    <x v="4"/>
    <x v="2"/>
    <x v="0"/>
    <x v="3"/>
    <x v="3"/>
    <x v="0"/>
    <x v="1"/>
  </r>
  <r>
    <x v="36"/>
    <x v="2"/>
    <x v="14"/>
    <n v="203.1"/>
    <n v="3452.7"/>
    <x v="0"/>
    <d v="2025-01-05T00:00:00"/>
    <s v="M"/>
    <x v="3"/>
    <x v="1"/>
    <x v="0"/>
    <x v="3"/>
    <x v="5"/>
    <x v="0"/>
    <x v="1"/>
  </r>
  <r>
    <x v="37"/>
    <x v="7"/>
    <x v="15"/>
    <n v="39"/>
    <n v="507"/>
    <x v="0"/>
    <d v="2025-01-07T00:00:00"/>
    <s v="M"/>
    <x v="0"/>
    <x v="2"/>
    <x v="0"/>
    <x v="3"/>
    <x v="4"/>
    <x v="0"/>
    <x v="1"/>
  </r>
  <r>
    <x v="38"/>
    <x v="10"/>
    <x v="0"/>
    <n v="26.5"/>
    <n v="26.5"/>
    <x v="1"/>
    <d v="2025-01-03T00:00:00"/>
    <s v="M"/>
    <x v="2"/>
    <x v="0"/>
    <x v="0"/>
    <x v="3"/>
    <x v="3"/>
    <x v="0"/>
    <x v="1"/>
  </r>
  <r>
    <x v="39"/>
    <x v="5"/>
    <x v="0"/>
    <n v="43.1"/>
    <n v="43.1"/>
    <x v="1"/>
    <d v="2025-01-03T00:00:00"/>
    <s v="F"/>
    <x v="2"/>
    <x v="1"/>
    <x v="0"/>
    <x v="3"/>
    <x v="3"/>
    <x v="0"/>
    <x v="2"/>
  </r>
  <r>
    <x v="40"/>
    <x v="1"/>
    <x v="2"/>
    <n v="139"/>
    <n v="417"/>
    <x v="1"/>
    <d v="2025-01-03T00:00:00"/>
    <s v="F"/>
    <x v="4"/>
    <x v="2"/>
    <x v="0"/>
    <x v="3"/>
    <x v="3"/>
    <x v="0"/>
    <x v="2"/>
  </r>
  <r>
    <x v="41"/>
    <x v="12"/>
    <x v="0"/>
    <n v="80.7"/>
    <n v="80.7"/>
    <x v="1"/>
    <d v="2025-01-03T00:00:00"/>
    <s v="M"/>
    <x v="0"/>
    <x v="2"/>
    <x v="0"/>
    <x v="16"/>
    <x v="3"/>
    <x v="0"/>
    <x v="1"/>
  </r>
  <r>
    <x v="42"/>
    <x v="4"/>
    <x v="1"/>
    <n v="54.5"/>
    <n v="109"/>
    <x v="1"/>
    <d v="2025-01-04T00:00:00"/>
    <s v="M"/>
    <x v="1"/>
    <x v="1"/>
    <x v="0"/>
    <x v="6"/>
    <x v="1"/>
    <x v="0"/>
    <x v="1"/>
  </r>
  <r>
    <x v="43"/>
    <x v="6"/>
    <x v="2"/>
    <n v="68.599999999999994"/>
    <n v="205.79999999999998"/>
    <x v="1"/>
    <d v="2025-01-02T00:00:00"/>
    <s v="F"/>
    <x v="0"/>
    <x v="1"/>
    <x v="0"/>
    <x v="8"/>
    <x v="7"/>
    <x v="0"/>
    <x v="2"/>
  </r>
  <r>
    <x v="44"/>
    <x v="2"/>
    <x v="12"/>
    <n v="135.9"/>
    <n v="543.6"/>
    <x v="1"/>
    <d v="2025-01-03T00:00:00"/>
    <s v="F"/>
    <x v="2"/>
    <x v="2"/>
    <x v="0"/>
    <x v="8"/>
    <x v="3"/>
    <x v="0"/>
    <x v="2"/>
  </r>
  <r>
    <x v="45"/>
    <x v="2"/>
    <x v="12"/>
    <n v="70.900000000000006"/>
    <n v="283.60000000000002"/>
    <x v="1"/>
    <d v="2025-01-03T00:00:00"/>
    <s v="F"/>
    <x v="0"/>
    <x v="0"/>
    <x v="0"/>
    <x v="17"/>
    <x v="3"/>
    <x v="0"/>
    <x v="2"/>
  </r>
  <r>
    <x v="46"/>
    <x v="1"/>
    <x v="9"/>
    <n v="63.7"/>
    <n v="318.5"/>
    <x v="1"/>
    <d v="2025-01-03T00:00:00"/>
    <s v="M"/>
    <x v="1"/>
    <x v="1"/>
    <x v="0"/>
    <x v="9"/>
    <x v="3"/>
    <x v="0"/>
    <x v="1"/>
  </r>
  <r>
    <x v="47"/>
    <x v="13"/>
    <x v="0"/>
    <n v="29.7"/>
    <n v="29.7"/>
    <x v="1"/>
    <d v="2025-01-04T00:00:00"/>
    <s v="F"/>
    <x v="1"/>
    <x v="0"/>
    <x v="0"/>
    <x v="11"/>
    <x v="1"/>
    <x v="0"/>
    <x v="2"/>
  </r>
  <r>
    <x v="48"/>
    <x v="4"/>
    <x v="2"/>
    <n v="26.8"/>
    <n v="80.400000000000006"/>
    <x v="1"/>
    <d v="2025-01-11T00:00:00"/>
    <s v="F"/>
    <x v="1"/>
    <x v="2"/>
    <x v="0"/>
    <x v="11"/>
    <x v="8"/>
    <x v="0"/>
    <x v="2"/>
  </r>
  <r>
    <x v="49"/>
    <x v="14"/>
    <x v="0"/>
    <n v="27"/>
    <n v="27"/>
    <x v="1"/>
    <d v="2025-01-04T00:00:00"/>
    <s v="F"/>
    <x v="0"/>
    <x v="0"/>
    <x v="0"/>
    <x v="18"/>
    <x v="1"/>
    <x v="0"/>
    <x v="2"/>
  </r>
  <r>
    <x v="50"/>
    <x v="8"/>
    <x v="0"/>
    <n v="41.4"/>
    <n v="41.4"/>
    <x v="1"/>
    <d v="2025-01-03T00:00:00"/>
    <s v="M"/>
    <x v="1"/>
    <x v="2"/>
    <x v="0"/>
    <x v="19"/>
    <x v="3"/>
    <x v="0"/>
    <x v="1"/>
  </r>
  <r>
    <x v="51"/>
    <x v="8"/>
    <x v="1"/>
    <n v="24.3"/>
    <n v="48.6"/>
    <x v="1"/>
    <d v="2025-01-05T00:00:00"/>
    <s v="F"/>
    <x v="1"/>
    <x v="0"/>
    <x v="0"/>
    <x v="19"/>
    <x v="2"/>
    <x v="0"/>
    <x v="2"/>
  </r>
  <r>
    <x v="52"/>
    <x v="8"/>
    <x v="2"/>
    <n v="41.7"/>
    <n v="125.10000000000001"/>
    <x v="1"/>
    <d v="2025-01-04T00:00:00"/>
    <s v="M"/>
    <x v="0"/>
    <x v="2"/>
    <x v="0"/>
    <x v="20"/>
    <x v="1"/>
    <x v="0"/>
    <x v="1"/>
  </r>
  <r>
    <x v="53"/>
    <x v="0"/>
    <x v="1"/>
    <n v="18"/>
    <n v="36"/>
    <x v="1"/>
    <d v="2025-01-03T00:00:00"/>
    <s v="F"/>
    <x v="0"/>
    <x v="2"/>
    <x v="0"/>
    <x v="21"/>
    <x v="3"/>
    <x v="0"/>
    <x v="2"/>
  </r>
  <r>
    <x v="54"/>
    <x v="7"/>
    <x v="2"/>
    <n v="91.3"/>
    <n v="273.89999999999998"/>
    <x v="1"/>
    <d v="2025-01-05T00:00:00"/>
    <s v="M"/>
    <x v="2"/>
    <x v="2"/>
    <x v="0"/>
    <x v="3"/>
    <x v="2"/>
    <x v="0"/>
    <x v="1"/>
  </r>
  <r>
    <x v="55"/>
    <x v="8"/>
    <x v="8"/>
    <n v="19.3"/>
    <n v="154.4"/>
    <x v="1"/>
    <d v="2025-01-03T00:00:00"/>
    <s v="M"/>
    <x v="0"/>
    <x v="0"/>
    <x v="0"/>
    <x v="3"/>
    <x v="3"/>
    <x v="0"/>
    <x v="1"/>
  </r>
  <r>
    <x v="56"/>
    <x v="12"/>
    <x v="15"/>
    <n v="63.2"/>
    <n v="821.6"/>
    <x v="1"/>
    <d v="2025-01-03T00:00:00"/>
    <s v="F"/>
    <x v="0"/>
    <x v="0"/>
    <x v="0"/>
    <x v="3"/>
    <x v="3"/>
    <x v="0"/>
    <x v="2"/>
  </r>
  <r>
    <x v="57"/>
    <x v="10"/>
    <x v="11"/>
    <n v="33.299999999999997"/>
    <n v="299.7"/>
    <x v="2"/>
    <d v="2025-01-11T00:00:00"/>
    <s v="F"/>
    <x v="0"/>
    <x v="2"/>
    <x v="0"/>
    <x v="3"/>
    <x v="9"/>
    <x v="0"/>
    <x v="2"/>
  </r>
  <r>
    <x v="58"/>
    <x v="7"/>
    <x v="1"/>
    <n v="64.2"/>
    <n v="128.4"/>
    <x v="2"/>
    <d v="2025-01-04T00:00:00"/>
    <s v="M"/>
    <x v="0"/>
    <x v="2"/>
    <x v="0"/>
    <x v="3"/>
    <x v="3"/>
    <x v="0"/>
    <x v="1"/>
  </r>
  <r>
    <x v="59"/>
    <x v="9"/>
    <x v="2"/>
    <n v="23.1"/>
    <n v="69.300000000000011"/>
    <x v="2"/>
    <d v="2025-01-06T00:00:00"/>
    <s v="F"/>
    <x v="1"/>
    <x v="2"/>
    <x v="0"/>
    <x v="3"/>
    <x v="2"/>
    <x v="0"/>
    <x v="2"/>
  </r>
  <r>
    <x v="60"/>
    <x v="15"/>
    <x v="1"/>
    <n v="71.099999999999994"/>
    <n v="142.19999999999999"/>
    <x v="2"/>
    <d v="2025-01-05T00:00:00"/>
    <s v="F"/>
    <x v="3"/>
    <x v="1"/>
    <x v="0"/>
    <x v="3"/>
    <x v="1"/>
    <x v="0"/>
    <x v="2"/>
  </r>
  <r>
    <x v="61"/>
    <x v="0"/>
    <x v="1"/>
    <n v="11.5"/>
    <n v="23"/>
    <x v="2"/>
    <d v="2025-01-04T00:00:00"/>
    <s v="F"/>
    <x v="0"/>
    <x v="0"/>
    <x v="0"/>
    <x v="3"/>
    <x v="3"/>
    <x v="0"/>
    <x v="2"/>
  </r>
  <r>
    <x v="62"/>
    <x v="15"/>
    <x v="10"/>
    <n v="69.2"/>
    <n v="1314.8"/>
    <x v="2"/>
    <d v="2025-01-08T00:00:00"/>
    <s v="F"/>
    <x v="0"/>
    <x v="0"/>
    <x v="0"/>
    <x v="3"/>
    <x v="0"/>
    <x v="0"/>
    <x v="2"/>
  </r>
  <r>
    <x v="63"/>
    <x v="0"/>
    <x v="0"/>
    <n v="26.8"/>
    <n v="26.8"/>
    <x v="2"/>
    <d v="2025-01-04T00:00:00"/>
    <s v="M"/>
    <x v="2"/>
    <x v="4"/>
    <x v="0"/>
    <x v="3"/>
    <x v="3"/>
    <x v="0"/>
    <x v="1"/>
  </r>
  <r>
    <x v="64"/>
    <x v="16"/>
    <x v="2"/>
    <n v="31.2"/>
    <n v="93.6"/>
    <x v="2"/>
    <d v="2025-01-06T00:00:00"/>
    <s v="F"/>
    <x v="0"/>
    <x v="0"/>
    <x v="0"/>
    <x v="3"/>
    <x v="2"/>
    <x v="0"/>
    <x v="2"/>
  </r>
  <r>
    <x v="65"/>
    <x v="12"/>
    <x v="1"/>
    <n v="113.2"/>
    <n v="226.4"/>
    <x v="2"/>
    <d v="2025-01-04T00:00:00"/>
    <s v="F"/>
    <x v="4"/>
    <x v="0"/>
    <x v="0"/>
    <x v="3"/>
    <x v="3"/>
    <x v="0"/>
    <x v="2"/>
  </r>
  <r>
    <x v="66"/>
    <x v="10"/>
    <x v="8"/>
    <n v="21"/>
    <n v="168"/>
    <x v="2"/>
    <d v="2025-01-04T00:00:00"/>
    <s v="M"/>
    <x v="0"/>
    <x v="0"/>
    <x v="0"/>
    <x v="6"/>
    <x v="3"/>
    <x v="0"/>
    <x v="1"/>
  </r>
  <r>
    <x v="67"/>
    <x v="1"/>
    <x v="1"/>
    <n v="89.1"/>
    <n v="178.2"/>
    <x v="2"/>
    <d v="2025-01-04T00:00:00"/>
    <s v="F"/>
    <x v="2"/>
    <x v="2"/>
    <x v="0"/>
    <x v="6"/>
    <x v="3"/>
    <x v="0"/>
    <x v="2"/>
  </r>
  <r>
    <x v="68"/>
    <x v="1"/>
    <x v="0"/>
    <n v="97.7"/>
    <n v="97.7"/>
    <x v="2"/>
    <d v="2025-01-05T00:00:00"/>
    <s v="F"/>
    <x v="0"/>
    <x v="1"/>
    <x v="0"/>
    <x v="6"/>
    <x v="1"/>
    <x v="0"/>
    <x v="2"/>
  </r>
  <r>
    <x v="69"/>
    <x v="15"/>
    <x v="12"/>
    <n v="97.7"/>
    <n v="390.8"/>
    <x v="2"/>
    <d v="2025-01-05T00:00:00"/>
    <s v="M"/>
    <x v="3"/>
    <x v="0"/>
    <x v="0"/>
    <x v="6"/>
    <x v="1"/>
    <x v="0"/>
    <x v="1"/>
  </r>
  <r>
    <x v="70"/>
    <x v="17"/>
    <x v="2"/>
    <n v="47.4"/>
    <n v="142.19999999999999"/>
    <x v="2"/>
    <d v="2025-01-06T00:00:00"/>
    <s v="M"/>
    <x v="3"/>
    <x v="2"/>
    <x v="0"/>
    <x v="8"/>
    <x v="2"/>
    <x v="0"/>
    <x v="1"/>
  </r>
  <r>
    <x v="71"/>
    <x v="7"/>
    <x v="0"/>
    <n v="89.6"/>
    <n v="89.6"/>
    <x v="2"/>
    <d v="2025-01-06T00:00:00"/>
    <s v="F"/>
    <x v="0"/>
    <x v="2"/>
    <x v="0"/>
    <x v="8"/>
    <x v="2"/>
    <x v="0"/>
    <x v="2"/>
  </r>
  <r>
    <x v="72"/>
    <x v="10"/>
    <x v="16"/>
    <n v="28.4"/>
    <n v="511.2"/>
    <x v="2"/>
    <d v="2025-01-06T00:00:00"/>
    <s v="F"/>
    <x v="3"/>
    <x v="2"/>
    <x v="0"/>
    <x v="17"/>
    <x v="2"/>
    <x v="0"/>
    <x v="2"/>
  </r>
  <r>
    <x v="73"/>
    <x v="0"/>
    <x v="1"/>
    <n v="17.899999999999999"/>
    <n v="35.799999999999997"/>
    <x v="2"/>
    <d v="2025-01-04T00:00:00"/>
    <s v="F"/>
    <x v="0"/>
    <x v="2"/>
    <x v="0"/>
    <x v="9"/>
    <x v="3"/>
    <x v="0"/>
    <x v="2"/>
  </r>
  <r>
    <x v="74"/>
    <x v="9"/>
    <x v="1"/>
    <n v="48.4"/>
    <n v="96.8"/>
    <x v="2"/>
    <d v="2025-01-06T00:00:00"/>
    <s v="M"/>
    <x v="1"/>
    <x v="0"/>
    <x v="0"/>
    <x v="9"/>
    <x v="2"/>
    <x v="0"/>
    <x v="1"/>
  </r>
  <r>
    <x v="75"/>
    <x v="12"/>
    <x v="12"/>
    <n v="44.4"/>
    <n v="177.6"/>
    <x v="2"/>
    <d v="2025-01-04T00:00:00"/>
    <s v="O"/>
    <x v="1"/>
    <x v="1"/>
    <x v="0"/>
    <x v="11"/>
    <x v="3"/>
    <x v="0"/>
    <x v="3"/>
  </r>
  <r>
    <x v="76"/>
    <x v="2"/>
    <x v="8"/>
    <n v="103.7"/>
    <n v="829.6"/>
    <x v="2"/>
    <d v="2025-01-04T00:00:00"/>
    <s v="F"/>
    <x v="0"/>
    <x v="1"/>
    <x v="0"/>
    <x v="19"/>
    <x v="3"/>
    <x v="0"/>
    <x v="2"/>
  </r>
  <r>
    <x v="77"/>
    <x v="5"/>
    <x v="12"/>
    <n v="58.6"/>
    <n v="234.4"/>
    <x v="2"/>
    <d v="2025-01-05T00:00:00"/>
    <s v="M"/>
    <x v="3"/>
    <x v="0"/>
    <x v="0"/>
    <x v="19"/>
    <x v="1"/>
    <x v="0"/>
    <x v="1"/>
  </r>
  <r>
    <x v="78"/>
    <x v="9"/>
    <x v="12"/>
    <n v="54.8"/>
    <n v="219.2"/>
    <x v="2"/>
    <d v="2025-01-07T00:00:00"/>
    <s v="F"/>
    <x v="2"/>
    <x v="1"/>
    <x v="0"/>
    <x v="13"/>
    <x v="5"/>
    <x v="0"/>
    <x v="2"/>
  </r>
  <r>
    <x v="79"/>
    <x v="12"/>
    <x v="2"/>
    <n v="78.8"/>
    <n v="236.39999999999998"/>
    <x v="2"/>
    <d v="2025-01-09T00:00:00"/>
    <s v="F"/>
    <x v="4"/>
    <x v="1"/>
    <x v="0"/>
    <x v="21"/>
    <x v="4"/>
    <x v="0"/>
    <x v="2"/>
  </r>
  <r>
    <x v="80"/>
    <x v="18"/>
    <x v="9"/>
    <n v="36.799999999999997"/>
    <n v="184"/>
    <x v="2"/>
    <d v="2025-01-06T00:00:00"/>
    <s v="M"/>
    <x v="4"/>
    <x v="1"/>
    <x v="0"/>
    <x v="22"/>
    <x v="2"/>
    <x v="0"/>
    <x v="1"/>
  </r>
  <r>
    <x v="81"/>
    <x v="6"/>
    <x v="13"/>
    <n v="50.6"/>
    <n v="303.60000000000002"/>
    <x v="2"/>
    <d v="2025-01-05T00:00:00"/>
    <s v="F"/>
    <x v="3"/>
    <x v="0"/>
    <x v="0"/>
    <x v="3"/>
    <x v="1"/>
    <x v="0"/>
    <x v="2"/>
  </r>
  <r>
    <x v="82"/>
    <x v="15"/>
    <x v="2"/>
    <n v="36.799999999999997"/>
    <n v="110.39999999999999"/>
    <x v="2"/>
    <d v="2025-01-03T00:00:00"/>
    <s v="M"/>
    <x v="2"/>
    <x v="1"/>
    <x v="0"/>
    <x v="3"/>
    <x v="7"/>
    <x v="0"/>
    <x v="1"/>
  </r>
  <r>
    <x v="83"/>
    <x v="8"/>
    <x v="11"/>
    <n v="41.8"/>
    <n v="376.2"/>
    <x v="3"/>
    <d v="2025-01-10T00:00:00"/>
    <s v="F"/>
    <x v="3"/>
    <x v="0"/>
    <x v="0"/>
    <x v="3"/>
    <x v="4"/>
    <x v="0"/>
    <x v="2"/>
  </r>
  <r>
    <x v="84"/>
    <x v="18"/>
    <x v="0"/>
    <n v="77.3"/>
    <n v="77.3"/>
    <x v="3"/>
    <d v="2025-01-05T00:00:00"/>
    <s v="M"/>
    <x v="4"/>
    <x v="4"/>
    <x v="0"/>
    <x v="3"/>
    <x v="3"/>
    <x v="0"/>
    <x v="1"/>
  </r>
  <r>
    <x v="85"/>
    <x v="8"/>
    <x v="12"/>
    <n v="19.8"/>
    <n v="79.2"/>
    <x v="3"/>
    <d v="2025-01-10T00:00:00"/>
    <s v="M"/>
    <x v="1"/>
    <x v="2"/>
    <x v="0"/>
    <x v="3"/>
    <x v="4"/>
    <x v="0"/>
    <x v="1"/>
  </r>
  <r>
    <x v="86"/>
    <x v="13"/>
    <x v="12"/>
    <n v="15.5"/>
    <n v="62"/>
    <x v="3"/>
    <d v="2025-01-05T00:00:00"/>
    <s v="F"/>
    <x v="1"/>
    <x v="2"/>
    <x v="0"/>
    <x v="3"/>
    <x v="3"/>
    <x v="0"/>
    <x v="2"/>
  </r>
  <r>
    <x v="87"/>
    <x v="12"/>
    <x v="0"/>
    <n v="46.8"/>
    <n v="46.8"/>
    <x v="3"/>
    <d v="2025-01-08T00:00:00"/>
    <s v="M"/>
    <x v="0"/>
    <x v="2"/>
    <x v="0"/>
    <x v="3"/>
    <x v="5"/>
    <x v="0"/>
    <x v="1"/>
  </r>
  <r>
    <x v="88"/>
    <x v="9"/>
    <x v="11"/>
    <n v="28.6"/>
    <n v="257.40000000000003"/>
    <x v="3"/>
    <d v="2025-01-08T00:00:00"/>
    <s v="M"/>
    <x v="0"/>
    <x v="2"/>
    <x v="0"/>
    <x v="3"/>
    <x v="5"/>
    <x v="0"/>
    <x v="1"/>
  </r>
  <r>
    <x v="89"/>
    <x v="2"/>
    <x v="0"/>
    <n v="97.7"/>
    <n v="97.7"/>
    <x v="3"/>
    <d v="2025-01-07T00:00:00"/>
    <s v="F"/>
    <x v="1"/>
    <x v="0"/>
    <x v="0"/>
    <x v="3"/>
    <x v="2"/>
    <x v="0"/>
    <x v="2"/>
  </r>
  <r>
    <x v="90"/>
    <x v="9"/>
    <x v="9"/>
    <n v="54.7"/>
    <n v="273.5"/>
    <x v="3"/>
    <d v="2025-01-07T00:00:00"/>
    <s v=""/>
    <x v="0"/>
    <x v="2"/>
    <x v="0"/>
    <x v="23"/>
    <x v="2"/>
    <x v="0"/>
    <x v="0"/>
  </r>
  <r>
    <x v="91"/>
    <x v="2"/>
    <x v="13"/>
    <n v="130.5"/>
    <n v="783"/>
    <x v="3"/>
    <d v="2025-01-06T00:00:00"/>
    <s v="F"/>
    <x v="0"/>
    <x v="1"/>
    <x v="0"/>
    <x v="23"/>
    <x v="1"/>
    <x v="0"/>
    <x v="2"/>
  </r>
  <r>
    <x v="92"/>
    <x v="11"/>
    <x v="1"/>
    <n v="50.4"/>
    <n v="100.8"/>
    <x v="3"/>
    <d v="2025-01-06T00:00:00"/>
    <s v="M"/>
    <x v="2"/>
    <x v="2"/>
    <x v="0"/>
    <x v="6"/>
    <x v="1"/>
    <x v="0"/>
    <x v="1"/>
  </r>
  <r>
    <x v="93"/>
    <x v="6"/>
    <x v="15"/>
    <n v="61.5"/>
    <n v="799.5"/>
    <x v="3"/>
    <d v="2025-01-05T00:00:00"/>
    <s v=""/>
    <x v="3"/>
    <x v="1"/>
    <x v="0"/>
    <x v="11"/>
    <x v="3"/>
    <x v="0"/>
    <x v="0"/>
  </r>
  <r>
    <x v="94"/>
    <x v="9"/>
    <x v="12"/>
    <n v="30.1"/>
    <n v="120.4"/>
    <x v="3"/>
    <d v="2025-01-05T00:00:00"/>
    <s v="F"/>
    <x v="0"/>
    <x v="2"/>
    <x v="0"/>
    <x v="21"/>
    <x v="3"/>
    <x v="0"/>
    <x v="2"/>
  </r>
  <r>
    <x v="95"/>
    <x v="2"/>
    <x v="9"/>
    <n v="74.8"/>
    <n v="374"/>
    <x v="3"/>
    <d v="2025-01-05T00:00:00"/>
    <s v="F"/>
    <x v="1"/>
    <x v="0"/>
    <x v="0"/>
    <x v="1"/>
    <x v="3"/>
    <x v="0"/>
    <x v="2"/>
  </r>
  <r>
    <x v="96"/>
    <x v="16"/>
    <x v="2"/>
    <n v="64.900000000000006"/>
    <n v="194.70000000000002"/>
    <x v="3"/>
    <d v="2025-01-11T00:00:00"/>
    <s v="M"/>
    <x v="0"/>
    <x v="0"/>
    <x v="0"/>
    <x v="2"/>
    <x v="6"/>
    <x v="0"/>
    <x v="1"/>
  </r>
  <r>
    <x v="97"/>
    <x v="9"/>
    <x v="1"/>
    <n v="50.5"/>
    <n v="101"/>
    <x v="3"/>
    <d v="2025-01-06T00:00:00"/>
    <s v="M"/>
    <x v="1"/>
    <x v="0"/>
    <x v="0"/>
    <x v="22"/>
    <x v="1"/>
    <x v="0"/>
    <x v="1"/>
  </r>
  <r>
    <x v="98"/>
    <x v="11"/>
    <x v="3"/>
    <n v="63"/>
    <n v="441"/>
    <x v="3"/>
    <d v="2025-01-07T00:00:00"/>
    <s v="M"/>
    <x v="3"/>
    <x v="2"/>
    <x v="0"/>
    <x v="3"/>
    <x v="2"/>
    <x v="0"/>
    <x v="1"/>
  </r>
  <r>
    <x v="99"/>
    <x v="2"/>
    <x v="2"/>
    <n v="93.6"/>
    <n v="280.79999999999995"/>
    <x v="3"/>
    <d v="2025-01-17T00:00:00"/>
    <s v="F"/>
    <x v="0"/>
    <x v="2"/>
    <x v="0"/>
    <x v="3"/>
    <x v="10"/>
    <x v="0"/>
    <x v="2"/>
  </r>
  <r>
    <x v="100"/>
    <x v="5"/>
    <x v="17"/>
    <n v="41.4"/>
    <n v="1242"/>
    <x v="3"/>
    <d v="2025-01-08T00:00:00"/>
    <s v="M"/>
    <x v="2"/>
    <x v="2"/>
    <x v="0"/>
    <x v="3"/>
    <x v="5"/>
    <x v="0"/>
    <x v="1"/>
  </r>
  <r>
    <x v="101"/>
    <x v="2"/>
    <x v="1"/>
    <n v="160"/>
    <n v="320"/>
    <x v="4"/>
    <d v="2025-01-06T00:00:00"/>
    <s v="M"/>
    <x v="2"/>
    <x v="2"/>
    <x v="0"/>
    <x v="5"/>
    <x v="3"/>
    <x v="1"/>
    <x v="1"/>
  </r>
  <r>
    <x v="102"/>
    <x v="19"/>
    <x v="5"/>
    <n v="10.5"/>
    <n v="115.5"/>
    <x v="4"/>
    <d v="2025-01-08T00:00:00"/>
    <s v="F"/>
    <x v="4"/>
    <x v="0"/>
    <x v="0"/>
    <x v="8"/>
    <x v="2"/>
    <x v="1"/>
    <x v="2"/>
  </r>
  <r>
    <x v="103"/>
    <x v="10"/>
    <x v="1"/>
    <n v="53"/>
    <n v="106"/>
    <x v="4"/>
    <d v="2025-01-05T00:00:00"/>
    <s v="M"/>
    <x v="2"/>
    <x v="4"/>
    <x v="0"/>
    <x v="17"/>
    <x v="7"/>
    <x v="1"/>
    <x v="1"/>
  </r>
  <r>
    <x v="104"/>
    <x v="8"/>
    <x v="2"/>
    <n v="18.5"/>
    <n v="55.5"/>
    <x v="4"/>
    <d v="2025-01-10T00:00:00"/>
    <s v="F"/>
    <x v="1"/>
    <x v="2"/>
    <x v="0"/>
    <x v="11"/>
    <x v="0"/>
    <x v="1"/>
    <x v="2"/>
  </r>
  <r>
    <x v="105"/>
    <x v="16"/>
    <x v="2"/>
    <n v="84.5"/>
    <n v="253.5"/>
    <x v="4"/>
    <d v="2025-01-07T00:00:00"/>
    <s v="F"/>
    <x v="4"/>
    <x v="1"/>
    <x v="0"/>
    <x v="13"/>
    <x v="1"/>
    <x v="1"/>
    <x v="2"/>
  </r>
  <r>
    <x v="106"/>
    <x v="15"/>
    <x v="3"/>
    <n v="31.2"/>
    <n v="218.4"/>
    <x v="4"/>
    <d v="2025-01-05T00:00:00"/>
    <s v="F"/>
    <x v="2"/>
    <x v="2"/>
    <x v="0"/>
    <x v="3"/>
    <x v="7"/>
    <x v="1"/>
    <x v="2"/>
  </r>
  <r>
    <x v="107"/>
    <x v="8"/>
    <x v="16"/>
    <n v="32.6"/>
    <n v="586.80000000000007"/>
    <x v="4"/>
    <d v="2025-01-06T00:00:00"/>
    <s v="M"/>
    <x v="1"/>
    <x v="1"/>
    <x v="0"/>
    <x v="3"/>
    <x v="3"/>
    <x v="1"/>
    <x v="1"/>
  </r>
  <r>
    <x v="108"/>
    <x v="10"/>
    <x v="12"/>
    <n v="45.4"/>
    <n v="181.6"/>
    <x v="4"/>
    <d v="2025-01-07T00:00:00"/>
    <s v="M"/>
    <x v="1"/>
    <x v="0"/>
    <x v="0"/>
    <x v="3"/>
    <x v="1"/>
    <x v="1"/>
    <x v="1"/>
  </r>
  <r>
    <x v="109"/>
    <x v="2"/>
    <x v="4"/>
    <n v="120"/>
    <n v="1440"/>
    <x v="4"/>
    <d v="2025-01-06T00:00:00"/>
    <s v="F"/>
    <x v="2"/>
    <x v="4"/>
    <x v="0"/>
    <x v="3"/>
    <x v="3"/>
    <x v="1"/>
    <x v="2"/>
  </r>
  <r>
    <x v="110"/>
    <x v="0"/>
    <x v="12"/>
    <n v="18.899999999999999"/>
    <n v="75.599999999999994"/>
    <x v="4"/>
    <d v="2025-01-07T00:00:00"/>
    <s v="M"/>
    <x v="0"/>
    <x v="2"/>
    <x v="0"/>
    <x v="3"/>
    <x v="1"/>
    <x v="1"/>
    <x v="1"/>
  </r>
  <r>
    <x v="111"/>
    <x v="4"/>
    <x v="0"/>
    <n v="32"/>
    <n v="32"/>
    <x v="4"/>
    <d v="2025-01-07T00:00:00"/>
    <s v="F"/>
    <x v="4"/>
    <x v="0"/>
    <x v="0"/>
    <x v="3"/>
    <x v="1"/>
    <x v="1"/>
    <x v="2"/>
  </r>
  <r>
    <x v="112"/>
    <x v="7"/>
    <x v="1"/>
    <n v="37.299999999999997"/>
    <n v="74.599999999999994"/>
    <x v="4"/>
    <d v="2025-01-06T00:00:00"/>
    <s v="M"/>
    <x v="2"/>
    <x v="0"/>
    <x v="0"/>
    <x v="3"/>
    <x v="3"/>
    <x v="1"/>
    <x v="1"/>
  </r>
  <r>
    <x v="113"/>
    <x v="18"/>
    <x v="0"/>
    <n v="119.8"/>
    <n v="119.8"/>
    <x v="4"/>
    <d v="2025-01-06T00:00:00"/>
    <s v="M"/>
    <x v="1"/>
    <x v="1"/>
    <x v="0"/>
    <x v="3"/>
    <x v="3"/>
    <x v="1"/>
    <x v="1"/>
  </r>
  <r>
    <x v="114"/>
    <x v="10"/>
    <x v="1"/>
    <n v="26.4"/>
    <n v="52.8"/>
    <x v="4"/>
    <d v="2025-01-08T00:00:00"/>
    <s v="M"/>
    <x v="2"/>
    <x v="0"/>
    <x v="0"/>
    <x v="3"/>
    <x v="2"/>
    <x v="1"/>
    <x v="1"/>
  </r>
  <r>
    <x v="115"/>
    <x v="6"/>
    <x v="13"/>
    <n v="76.5"/>
    <n v="459"/>
    <x v="4"/>
    <d v="2025-01-06T00:00:00"/>
    <s v="F"/>
    <x v="1"/>
    <x v="1"/>
    <x v="0"/>
    <x v="3"/>
    <x v="3"/>
    <x v="1"/>
    <x v="2"/>
  </r>
  <r>
    <x v="116"/>
    <x v="4"/>
    <x v="7"/>
    <n v="45.7"/>
    <n v="457"/>
    <x v="4"/>
    <d v="2025-01-06T00:00:00"/>
    <s v="F"/>
    <x v="2"/>
    <x v="0"/>
    <x v="0"/>
    <x v="24"/>
    <x v="3"/>
    <x v="1"/>
    <x v="2"/>
  </r>
  <r>
    <x v="117"/>
    <x v="1"/>
    <x v="4"/>
    <n v="92.6"/>
    <n v="1111.1999999999998"/>
    <x v="4"/>
    <d v="2025-01-07T00:00:00"/>
    <s v="F"/>
    <x v="2"/>
    <x v="0"/>
    <x v="0"/>
    <x v="25"/>
    <x v="1"/>
    <x v="1"/>
    <x v="2"/>
  </r>
  <r>
    <x v="118"/>
    <x v="6"/>
    <x v="13"/>
    <n v="60.1"/>
    <n v="360.6"/>
    <x v="4"/>
    <d v="2025-01-06T00:00:00"/>
    <s v="M"/>
    <x v="1"/>
    <x v="0"/>
    <x v="0"/>
    <x v="23"/>
    <x v="3"/>
    <x v="1"/>
    <x v="1"/>
  </r>
  <r>
    <x v="119"/>
    <x v="1"/>
    <x v="2"/>
    <n v="73"/>
    <n v="219"/>
    <x v="4"/>
    <d v="2025-01-06T00:00:00"/>
    <s v="F"/>
    <x v="3"/>
    <x v="1"/>
    <x v="0"/>
    <x v="6"/>
    <x v="3"/>
    <x v="1"/>
    <x v="2"/>
  </r>
  <r>
    <x v="120"/>
    <x v="6"/>
    <x v="2"/>
    <n v="44.3"/>
    <n v="132.89999999999998"/>
    <x v="4"/>
    <d v="2025-01-09T00:00:00"/>
    <s v=""/>
    <x v="2"/>
    <x v="2"/>
    <x v="0"/>
    <x v="6"/>
    <x v="5"/>
    <x v="1"/>
    <x v="0"/>
  </r>
  <r>
    <x v="121"/>
    <x v="6"/>
    <x v="2"/>
    <n v="63.3"/>
    <n v="189.89999999999998"/>
    <x v="4"/>
    <d v="2025-01-06T00:00:00"/>
    <s v="M"/>
    <x v="2"/>
    <x v="0"/>
    <x v="0"/>
    <x v="6"/>
    <x v="3"/>
    <x v="1"/>
    <x v="1"/>
  </r>
  <r>
    <x v="122"/>
    <x v="12"/>
    <x v="0"/>
    <n v="66.8"/>
    <n v="66.8"/>
    <x v="4"/>
    <d v="2025-01-06T00:00:00"/>
    <s v="F"/>
    <x v="1"/>
    <x v="0"/>
    <x v="0"/>
    <x v="6"/>
    <x v="3"/>
    <x v="1"/>
    <x v="2"/>
  </r>
  <r>
    <x v="123"/>
    <x v="2"/>
    <x v="1"/>
    <n v="59.7"/>
    <n v="119.4"/>
    <x v="4"/>
    <d v="2025-01-06T00:00:00"/>
    <s v="F"/>
    <x v="0"/>
    <x v="0"/>
    <x v="0"/>
    <x v="7"/>
    <x v="3"/>
    <x v="1"/>
    <x v="2"/>
  </r>
  <r>
    <x v="124"/>
    <x v="1"/>
    <x v="13"/>
    <n v="92"/>
    <n v="552"/>
    <x v="4"/>
    <d v="2025-01-07T00:00:00"/>
    <s v="M"/>
    <x v="0"/>
    <x v="4"/>
    <x v="0"/>
    <x v="7"/>
    <x v="1"/>
    <x v="1"/>
    <x v="1"/>
  </r>
  <r>
    <x v="125"/>
    <x v="7"/>
    <x v="1"/>
    <n v="87.6"/>
    <n v="175.2"/>
    <x v="4"/>
    <d v="2025-01-07T00:00:00"/>
    <s v="M"/>
    <x v="1"/>
    <x v="1"/>
    <x v="0"/>
    <x v="8"/>
    <x v="1"/>
    <x v="1"/>
    <x v="1"/>
  </r>
  <r>
    <x v="126"/>
    <x v="6"/>
    <x v="2"/>
    <n v="84.5"/>
    <n v="253.5"/>
    <x v="4"/>
    <d v="2025-01-06T00:00:00"/>
    <s v="F"/>
    <x v="1"/>
    <x v="1"/>
    <x v="0"/>
    <x v="8"/>
    <x v="3"/>
    <x v="1"/>
    <x v="2"/>
  </r>
  <r>
    <x v="127"/>
    <x v="1"/>
    <x v="1"/>
    <n v="116.3"/>
    <n v="232.6"/>
    <x v="5"/>
    <d v="2025-01-08T00:00:00"/>
    <s v="M"/>
    <x v="2"/>
    <x v="2"/>
    <x v="0"/>
    <x v="8"/>
    <x v="1"/>
    <x v="1"/>
    <x v="1"/>
  </r>
  <r>
    <x v="128"/>
    <x v="6"/>
    <x v="9"/>
    <n v="52.7"/>
    <n v="263.5"/>
    <x v="5"/>
    <d v="2025-01-10T00:00:00"/>
    <s v="M"/>
    <x v="0"/>
    <x v="0"/>
    <x v="0"/>
    <x v="8"/>
    <x v="5"/>
    <x v="1"/>
    <x v="1"/>
  </r>
  <r>
    <x v="129"/>
    <x v="16"/>
    <x v="2"/>
    <n v="34.200000000000003"/>
    <n v="102.60000000000001"/>
    <x v="5"/>
    <d v="2025-01-07T00:00:00"/>
    <s v="M"/>
    <x v="0"/>
    <x v="2"/>
    <x v="0"/>
    <x v="26"/>
    <x v="3"/>
    <x v="1"/>
    <x v="1"/>
  </r>
  <r>
    <x v="130"/>
    <x v="9"/>
    <x v="0"/>
    <n v="23.3"/>
    <n v="23.3"/>
    <x v="5"/>
    <d v="2025-01-15T00:00:00"/>
    <s v="O"/>
    <x v="2"/>
    <x v="2"/>
    <x v="0"/>
    <x v="9"/>
    <x v="8"/>
    <x v="1"/>
    <x v="3"/>
  </r>
  <r>
    <x v="131"/>
    <x v="0"/>
    <x v="18"/>
    <n v="25.9"/>
    <n v="673.4"/>
    <x v="5"/>
    <d v="2025-01-09T00:00:00"/>
    <s v="F"/>
    <x v="4"/>
    <x v="1"/>
    <x v="0"/>
    <x v="9"/>
    <x v="2"/>
    <x v="1"/>
    <x v="2"/>
  </r>
  <r>
    <x v="132"/>
    <x v="6"/>
    <x v="19"/>
    <n v="54.9"/>
    <n v="1592.1"/>
    <x v="5"/>
    <d v="2025-01-07T00:00:00"/>
    <s v="M"/>
    <x v="1"/>
    <x v="2"/>
    <x v="0"/>
    <x v="9"/>
    <x v="3"/>
    <x v="1"/>
    <x v="1"/>
  </r>
  <r>
    <x v="133"/>
    <x v="5"/>
    <x v="2"/>
    <n v="75.8"/>
    <n v="227.39999999999998"/>
    <x v="5"/>
    <d v="2025-01-11T00:00:00"/>
    <s v="O"/>
    <x v="1"/>
    <x v="0"/>
    <x v="0"/>
    <x v="18"/>
    <x v="0"/>
    <x v="1"/>
    <x v="3"/>
  </r>
  <r>
    <x v="134"/>
    <x v="1"/>
    <x v="11"/>
    <n v="44.9"/>
    <n v="404.09999999999997"/>
    <x v="5"/>
    <d v="2025-01-09T00:00:00"/>
    <s v="F"/>
    <x v="2"/>
    <x v="2"/>
    <x v="0"/>
    <x v="2"/>
    <x v="2"/>
    <x v="1"/>
    <x v="2"/>
  </r>
  <r>
    <x v="135"/>
    <x v="11"/>
    <x v="1"/>
    <n v="48.8"/>
    <n v="97.6"/>
    <x v="5"/>
    <d v="2025-01-08T00:00:00"/>
    <s v="F"/>
    <x v="3"/>
    <x v="0"/>
    <x v="0"/>
    <x v="27"/>
    <x v="1"/>
    <x v="1"/>
    <x v="2"/>
  </r>
  <r>
    <x v="136"/>
    <x v="15"/>
    <x v="0"/>
    <n v="20.3"/>
    <n v="20.3"/>
    <x v="5"/>
    <d v="2025-01-07T00:00:00"/>
    <s v="F"/>
    <x v="0"/>
    <x v="2"/>
    <x v="0"/>
    <x v="22"/>
    <x v="3"/>
    <x v="1"/>
    <x v="2"/>
  </r>
  <r>
    <x v="137"/>
    <x v="5"/>
    <x v="3"/>
    <n v="36.4"/>
    <n v="254.79999999999998"/>
    <x v="5"/>
    <d v="2025-01-09T00:00:00"/>
    <s v="F"/>
    <x v="0"/>
    <x v="1"/>
    <x v="0"/>
    <x v="3"/>
    <x v="2"/>
    <x v="1"/>
    <x v="2"/>
  </r>
  <r>
    <x v="138"/>
    <x v="0"/>
    <x v="0"/>
    <n v="19"/>
    <n v="19"/>
    <x v="5"/>
    <d v="2025-01-11T00:00:00"/>
    <s v="F"/>
    <x v="1"/>
    <x v="2"/>
    <x v="0"/>
    <x v="3"/>
    <x v="0"/>
    <x v="1"/>
    <x v="2"/>
  </r>
  <r>
    <x v="139"/>
    <x v="8"/>
    <x v="0"/>
    <n v="17.8"/>
    <n v="17.8"/>
    <x v="5"/>
    <d v="2025-01-06T00:00:00"/>
    <s v="M"/>
    <x v="0"/>
    <x v="0"/>
    <x v="0"/>
    <x v="3"/>
    <x v="7"/>
    <x v="1"/>
    <x v="1"/>
  </r>
  <r>
    <x v="140"/>
    <x v="2"/>
    <x v="13"/>
    <n v="139.6"/>
    <n v="837.59999999999991"/>
    <x v="5"/>
    <d v="2025-01-09T00:00:00"/>
    <s v="M"/>
    <x v="0"/>
    <x v="0"/>
    <x v="0"/>
    <x v="3"/>
    <x v="2"/>
    <x v="1"/>
    <x v="1"/>
  </r>
  <r>
    <x v="141"/>
    <x v="9"/>
    <x v="0"/>
    <n v="31.7"/>
    <n v="31.7"/>
    <x v="5"/>
    <d v="2025-01-06T00:00:00"/>
    <s v=""/>
    <x v="0"/>
    <x v="0"/>
    <x v="0"/>
    <x v="3"/>
    <x v="7"/>
    <x v="1"/>
    <x v="0"/>
  </r>
  <r>
    <x v="142"/>
    <x v="8"/>
    <x v="8"/>
    <n v="26.3"/>
    <n v="210.4"/>
    <x v="5"/>
    <d v="2025-01-09T00:00:00"/>
    <s v="F"/>
    <x v="4"/>
    <x v="4"/>
    <x v="0"/>
    <x v="3"/>
    <x v="2"/>
    <x v="1"/>
    <x v="2"/>
  </r>
  <r>
    <x v="143"/>
    <x v="4"/>
    <x v="1"/>
    <n v="47.8"/>
    <n v="95.6"/>
    <x v="5"/>
    <d v="2025-01-07T00:00:00"/>
    <s v=""/>
    <x v="0"/>
    <x v="0"/>
    <x v="0"/>
    <x v="3"/>
    <x v="3"/>
    <x v="1"/>
    <x v="0"/>
  </r>
  <r>
    <x v="144"/>
    <x v="9"/>
    <x v="2"/>
    <n v="69.400000000000006"/>
    <n v="208.20000000000002"/>
    <x v="5"/>
    <d v="2025-01-10T00:00:00"/>
    <s v="F"/>
    <x v="0"/>
    <x v="0"/>
    <x v="0"/>
    <x v="3"/>
    <x v="5"/>
    <x v="1"/>
    <x v="2"/>
  </r>
  <r>
    <x v="145"/>
    <x v="18"/>
    <x v="4"/>
    <n v="25.8"/>
    <n v="309.60000000000002"/>
    <x v="5"/>
    <d v="2025-01-07T00:00:00"/>
    <s v="M"/>
    <x v="4"/>
    <x v="4"/>
    <x v="0"/>
    <x v="3"/>
    <x v="3"/>
    <x v="1"/>
    <x v="1"/>
  </r>
  <r>
    <x v="146"/>
    <x v="0"/>
    <x v="12"/>
    <n v="26.4"/>
    <n v="105.6"/>
    <x v="5"/>
    <d v="2025-01-07T00:00:00"/>
    <s v="M"/>
    <x v="1"/>
    <x v="2"/>
    <x v="0"/>
    <x v="3"/>
    <x v="3"/>
    <x v="1"/>
    <x v="1"/>
  </r>
  <r>
    <x v="147"/>
    <x v="8"/>
    <x v="12"/>
    <n v="15.7"/>
    <n v="62.8"/>
    <x v="5"/>
    <d v="2025-01-07T00:00:00"/>
    <s v="M"/>
    <x v="2"/>
    <x v="0"/>
    <x v="0"/>
    <x v="3"/>
    <x v="3"/>
    <x v="1"/>
    <x v="1"/>
  </r>
  <r>
    <x v="148"/>
    <x v="8"/>
    <x v="0"/>
    <n v="39.700000000000003"/>
    <n v="39.700000000000003"/>
    <x v="5"/>
    <d v="2025-01-10T00:00:00"/>
    <s v="M"/>
    <x v="0"/>
    <x v="0"/>
    <x v="0"/>
    <x v="3"/>
    <x v="5"/>
    <x v="1"/>
    <x v="1"/>
  </r>
  <r>
    <x v="149"/>
    <x v="10"/>
    <x v="12"/>
    <n v="31.1"/>
    <n v="124.4"/>
    <x v="5"/>
    <d v="2025-01-08T00:00:00"/>
    <s v="F"/>
    <x v="2"/>
    <x v="1"/>
    <x v="0"/>
    <x v="3"/>
    <x v="1"/>
    <x v="1"/>
    <x v="2"/>
  </r>
  <r>
    <x v="150"/>
    <x v="13"/>
    <x v="20"/>
    <n v="23.4"/>
    <n v="351"/>
    <x v="5"/>
    <d v="2025-01-15T00:00:00"/>
    <s v="M"/>
    <x v="0"/>
    <x v="0"/>
    <x v="0"/>
    <x v="3"/>
    <x v="8"/>
    <x v="1"/>
    <x v="1"/>
  </r>
  <r>
    <x v="151"/>
    <x v="1"/>
    <x v="12"/>
    <n v="57.1"/>
    <n v="228.4"/>
    <x v="6"/>
    <d v="2025-01-08T00:00:00"/>
    <s v="M"/>
    <x v="2"/>
    <x v="0"/>
    <x v="0"/>
    <x v="25"/>
    <x v="3"/>
    <x v="1"/>
    <x v="1"/>
  </r>
  <r>
    <x v="152"/>
    <x v="2"/>
    <x v="9"/>
    <n v="89.9"/>
    <n v="449.5"/>
    <x v="6"/>
    <d v="2025-01-07T00:00:00"/>
    <s v="F"/>
    <x v="0"/>
    <x v="3"/>
    <x v="0"/>
    <x v="23"/>
    <x v="7"/>
    <x v="1"/>
    <x v="2"/>
  </r>
  <r>
    <x v="153"/>
    <x v="10"/>
    <x v="3"/>
    <n v="48.1"/>
    <n v="336.7"/>
    <x v="6"/>
    <d v="2025-01-09T00:00:00"/>
    <s v="F"/>
    <x v="1"/>
    <x v="2"/>
    <x v="0"/>
    <x v="6"/>
    <x v="1"/>
    <x v="1"/>
    <x v="2"/>
  </r>
  <r>
    <x v="154"/>
    <x v="8"/>
    <x v="1"/>
    <n v="29.3"/>
    <n v="58.6"/>
    <x v="6"/>
    <d v="2025-01-07T00:00:00"/>
    <s v="F"/>
    <x v="1"/>
    <x v="1"/>
    <x v="0"/>
    <x v="6"/>
    <x v="7"/>
    <x v="1"/>
    <x v="2"/>
  </r>
  <r>
    <x v="155"/>
    <x v="8"/>
    <x v="12"/>
    <n v="28.8"/>
    <n v="115.2"/>
    <x v="6"/>
    <d v="2025-01-08T00:00:00"/>
    <s v="F"/>
    <x v="0"/>
    <x v="4"/>
    <x v="0"/>
    <x v="6"/>
    <x v="3"/>
    <x v="1"/>
    <x v="2"/>
  </r>
  <r>
    <x v="156"/>
    <x v="10"/>
    <x v="9"/>
    <n v="40.5"/>
    <n v="202.5"/>
    <x v="6"/>
    <d v="2025-01-11T00:00:00"/>
    <s v="F"/>
    <x v="3"/>
    <x v="0"/>
    <x v="0"/>
    <x v="6"/>
    <x v="5"/>
    <x v="1"/>
    <x v="2"/>
  </r>
  <r>
    <x v="157"/>
    <x v="18"/>
    <x v="21"/>
    <n v="65.099999999999994"/>
    <n v="911.39999999999986"/>
    <x v="6"/>
    <d v="2025-01-08T00:00:00"/>
    <s v="F"/>
    <x v="4"/>
    <x v="0"/>
    <x v="0"/>
    <x v="7"/>
    <x v="3"/>
    <x v="1"/>
    <x v="2"/>
  </r>
  <r>
    <x v="158"/>
    <x v="8"/>
    <x v="12"/>
    <n v="40.299999999999997"/>
    <n v="161.19999999999999"/>
    <x v="6"/>
    <d v="2025-01-12T00:00:00"/>
    <s v="F"/>
    <x v="2"/>
    <x v="0"/>
    <x v="0"/>
    <x v="7"/>
    <x v="0"/>
    <x v="1"/>
    <x v="2"/>
  </r>
  <r>
    <x v="159"/>
    <x v="6"/>
    <x v="9"/>
    <n v="51.8"/>
    <n v="259"/>
    <x v="6"/>
    <d v="2025-01-08T00:00:00"/>
    <s v="M"/>
    <x v="2"/>
    <x v="2"/>
    <x v="0"/>
    <x v="8"/>
    <x v="3"/>
    <x v="1"/>
    <x v="1"/>
  </r>
  <r>
    <x v="160"/>
    <x v="6"/>
    <x v="2"/>
    <n v="61.3"/>
    <n v="183.89999999999998"/>
    <x v="6"/>
    <d v="2025-01-08T00:00:00"/>
    <s v="F"/>
    <x v="3"/>
    <x v="0"/>
    <x v="0"/>
    <x v="8"/>
    <x v="3"/>
    <x v="1"/>
    <x v="2"/>
  </r>
  <r>
    <x v="161"/>
    <x v="2"/>
    <x v="12"/>
    <n v="122.5"/>
    <n v="490"/>
    <x v="6"/>
    <d v="2025-01-08T00:00:00"/>
    <s v="M"/>
    <x v="0"/>
    <x v="0"/>
    <x v="0"/>
    <x v="8"/>
    <x v="3"/>
    <x v="1"/>
    <x v="1"/>
  </r>
  <r>
    <x v="162"/>
    <x v="0"/>
    <x v="11"/>
    <n v="12.5"/>
    <n v="112.5"/>
    <x v="6"/>
    <d v="2025-01-08T00:00:00"/>
    <s v=""/>
    <x v="1"/>
    <x v="2"/>
    <x v="0"/>
    <x v="8"/>
    <x v="3"/>
    <x v="1"/>
    <x v="0"/>
  </r>
  <r>
    <x v="163"/>
    <x v="15"/>
    <x v="8"/>
    <n v="37.5"/>
    <n v="300"/>
    <x v="6"/>
    <d v="2025-01-08T00:00:00"/>
    <s v="F"/>
    <x v="0"/>
    <x v="0"/>
    <x v="0"/>
    <x v="9"/>
    <x v="3"/>
    <x v="1"/>
    <x v="2"/>
  </r>
  <r>
    <x v="164"/>
    <x v="6"/>
    <x v="2"/>
    <n v="40"/>
    <n v="120"/>
    <x v="6"/>
    <d v="2025-01-10T00:00:00"/>
    <s v="M"/>
    <x v="0"/>
    <x v="4"/>
    <x v="0"/>
    <x v="11"/>
    <x v="2"/>
    <x v="1"/>
    <x v="1"/>
  </r>
  <r>
    <x v="165"/>
    <x v="17"/>
    <x v="8"/>
    <n v="38.5"/>
    <n v="308"/>
    <x v="6"/>
    <d v="2025-01-12T00:00:00"/>
    <s v="F"/>
    <x v="2"/>
    <x v="1"/>
    <x v="0"/>
    <x v="11"/>
    <x v="0"/>
    <x v="1"/>
    <x v="2"/>
  </r>
  <r>
    <x v="166"/>
    <x v="2"/>
    <x v="1"/>
    <n v="86.4"/>
    <n v="172.8"/>
    <x v="6"/>
    <d v="2025-01-09T00:00:00"/>
    <s v="F"/>
    <x v="0"/>
    <x v="0"/>
    <x v="0"/>
    <x v="18"/>
    <x v="1"/>
    <x v="1"/>
    <x v="2"/>
  </r>
  <r>
    <x v="167"/>
    <x v="10"/>
    <x v="0"/>
    <n v="50.7"/>
    <n v="50.7"/>
    <x v="6"/>
    <d v="2025-01-11T00:00:00"/>
    <s v="F"/>
    <x v="1"/>
    <x v="0"/>
    <x v="0"/>
    <x v="18"/>
    <x v="5"/>
    <x v="1"/>
    <x v="2"/>
  </r>
  <r>
    <x v="168"/>
    <x v="10"/>
    <x v="1"/>
    <n v="61"/>
    <n v="122"/>
    <x v="6"/>
    <d v="2025-01-18T00:00:00"/>
    <s v="F"/>
    <x v="4"/>
    <x v="1"/>
    <x v="0"/>
    <x v="18"/>
    <x v="11"/>
    <x v="1"/>
    <x v="2"/>
  </r>
  <r>
    <x v="169"/>
    <x v="4"/>
    <x v="1"/>
    <n v="19.899999999999999"/>
    <n v="39.799999999999997"/>
    <x v="6"/>
    <d v="2025-01-10T00:00:00"/>
    <s v="F"/>
    <x v="1"/>
    <x v="0"/>
    <x v="0"/>
    <x v="28"/>
    <x v="2"/>
    <x v="1"/>
    <x v="2"/>
  </r>
  <r>
    <x v="170"/>
    <x v="5"/>
    <x v="0"/>
    <n v="78.3"/>
    <n v="78.3"/>
    <x v="6"/>
    <d v="2025-01-07T00:00:00"/>
    <s v="F"/>
    <x v="0"/>
    <x v="2"/>
    <x v="0"/>
    <x v="1"/>
    <x v="7"/>
    <x v="1"/>
    <x v="2"/>
  </r>
  <r>
    <x v="171"/>
    <x v="0"/>
    <x v="10"/>
    <n v="10.4"/>
    <n v="197.6"/>
    <x v="6"/>
    <d v="2025-01-09T00:00:00"/>
    <s v="M"/>
    <x v="0"/>
    <x v="2"/>
    <x v="0"/>
    <x v="2"/>
    <x v="1"/>
    <x v="1"/>
    <x v="1"/>
  </r>
  <r>
    <x v="172"/>
    <x v="10"/>
    <x v="0"/>
    <n v="36.1"/>
    <n v="36.1"/>
    <x v="6"/>
    <d v="2025-01-10T00:00:00"/>
    <s v="M"/>
    <x v="3"/>
    <x v="2"/>
    <x v="0"/>
    <x v="3"/>
    <x v="2"/>
    <x v="1"/>
    <x v="1"/>
  </r>
  <r>
    <x v="173"/>
    <x v="14"/>
    <x v="1"/>
    <n v="17.3"/>
    <n v="34.6"/>
    <x v="6"/>
    <d v="2025-01-09T00:00:00"/>
    <s v="F"/>
    <x v="1"/>
    <x v="2"/>
    <x v="0"/>
    <x v="3"/>
    <x v="1"/>
    <x v="1"/>
    <x v="2"/>
  </r>
  <r>
    <x v="174"/>
    <x v="10"/>
    <x v="1"/>
    <n v="30.5"/>
    <n v="61"/>
    <x v="6"/>
    <d v="2025-01-08T00:00:00"/>
    <s v="F"/>
    <x v="1"/>
    <x v="2"/>
    <x v="0"/>
    <x v="3"/>
    <x v="3"/>
    <x v="1"/>
    <x v="2"/>
  </r>
  <r>
    <x v="175"/>
    <x v="18"/>
    <x v="22"/>
    <n v="70.099999999999994"/>
    <n v="4346.2"/>
    <x v="6"/>
    <d v="2025-01-07T00:00:00"/>
    <s v="F"/>
    <x v="2"/>
    <x v="0"/>
    <x v="0"/>
    <x v="3"/>
    <x v="7"/>
    <x v="1"/>
    <x v="2"/>
  </r>
  <r>
    <x v="176"/>
    <x v="3"/>
    <x v="0"/>
    <n v="76.099999999999994"/>
    <n v="76.099999999999994"/>
    <x v="6"/>
    <d v="2025-01-07T00:00:00"/>
    <s v="F"/>
    <x v="2"/>
    <x v="1"/>
    <x v="0"/>
    <x v="3"/>
    <x v="7"/>
    <x v="1"/>
    <x v="2"/>
  </r>
  <r>
    <x v="177"/>
    <x v="15"/>
    <x v="15"/>
    <n v="34.200000000000003"/>
    <n v="444.6"/>
    <x v="6"/>
    <d v="2025-01-08T00:00:00"/>
    <s v="M"/>
    <x v="0"/>
    <x v="0"/>
    <x v="0"/>
    <x v="3"/>
    <x v="3"/>
    <x v="1"/>
    <x v="1"/>
  </r>
  <r>
    <x v="178"/>
    <x v="8"/>
    <x v="9"/>
    <n v="30.3"/>
    <n v="151.5"/>
    <x v="6"/>
    <d v="2025-01-12T00:00:00"/>
    <s v="F"/>
    <x v="4"/>
    <x v="0"/>
    <x v="0"/>
    <x v="3"/>
    <x v="0"/>
    <x v="1"/>
    <x v="2"/>
  </r>
  <r>
    <x v="179"/>
    <x v="6"/>
    <x v="9"/>
    <n v="52.5"/>
    <n v="262.5"/>
    <x v="6"/>
    <d v="2025-01-11T00:00:00"/>
    <s v=""/>
    <x v="3"/>
    <x v="0"/>
    <x v="0"/>
    <x v="3"/>
    <x v="5"/>
    <x v="1"/>
    <x v="0"/>
  </r>
  <r>
    <x v="180"/>
    <x v="9"/>
    <x v="5"/>
    <n v="28.7"/>
    <n v="315.7"/>
    <x v="6"/>
    <d v="2025-01-08T00:00:00"/>
    <s v="F"/>
    <x v="2"/>
    <x v="0"/>
    <x v="0"/>
    <x v="3"/>
    <x v="3"/>
    <x v="1"/>
    <x v="2"/>
  </r>
  <r>
    <x v="181"/>
    <x v="7"/>
    <x v="3"/>
    <n v="52"/>
    <n v="364"/>
    <x v="6"/>
    <d v="2025-01-08T00:00:00"/>
    <s v="M"/>
    <x v="1"/>
    <x v="4"/>
    <x v="0"/>
    <x v="3"/>
    <x v="3"/>
    <x v="1"/>
    <x v="1"/>
  </r>
  <r>
    <x v="182"/>
    <x v="0"/>
    <x v="0"/>
    <n v="13.3"/>
    <n v="13.3"/>
    <x v="7"/>
    <d v="2025-01-12T00:00:00"/>
    <s v="F"/>
    <x v="2"/>
    <x v="1"/>
    <x v="0"/>
    <x v="3"/>
    <x v="5"/>
    <x v="1"/>
    <x v="2"/>
  </r>
  <r>
    <x v="183"/>
    <x v="0"/>
    <x v="2"/>
    <n v="15.7"/>
    <n v="47.099999999999994"/>
    <x v="7"/>
    <d v="2025-01-09T00:00:00"/>
    <s v="F"/>
    <x v="1"/>
    <x v="0"/>
    <x v="0"/>
    <x v="29"/>
    <x v="3"/>
    <x v="1"/>
    <x v="2"/>
  </r>
  <r>
    <x v="184"/>
    <x v="8"/>
    <x v="1"/>
    <n v="25.6"/>
    <n v="51.2"/>
    <x v="7"/>
    <d v="2025-01-09T00:00:00"/>
    <s v="M"/>
    <x v="0"/>
    <x v="2"/>
    <x v="0"/>
    <x v="23"/>
    <x v="3"/>
    <x v="1"/>
    <x v="1"/>
  </r>
  <r>
    <x v="185"/>
    <x v="8"/>
    <x v="0"/>
    <n v="43.4"/>
    <n v="43.4"/>
    <x v="7"/>
    <d v="2025-01-13T00:00:00"/>
    <s v="M"/>
    <x v="0"/>
    <x v="0"/>
    <x v="0"/>
    <x v="6"/>
    <x v="0"/>
    <x v="1"/>
    <x v="1"/>
  </r>
  <r>
    <x v="186"/>
    <x v="11"/>
    <x v="11"/>
    <n v="33.4"/>
    <n v="300.59999999999997"/>
    <x v="7"/>
    <d v="2025-01-08T00:00:00"/>
    <s v="F"/>
    <x v="0"/>
    <x v="0"/>
    <x v="0"/>
    <x v="8"/>
    <x v="7"/>
    <x v="1"/>
    <x v="2"/>
  </r>
  <r>
    <x v="187"/>
    <x v="8"/>
    <x v="10"/>
    <n v="55"/>
    <n v="1045"/>
    <x v="7"/>
    <d v="2025-01-09T00:00:00"/>
    <s v="F"/>
    <x v="1"/>
    <x v="2"/>
    <x v="0"/>
    <x v="8"/>
    <x v="3"/>
    <x v="1"/>
    <x v="2"/>
  </r>
  <r>
    <x v="188"/>
    <x v="8"/>
    <x v="2"/>
    <n v="23.6"/>
    <n v="70.800000000000011"/>
    <x v="7"/>
    <d v="2025-01-09T00:00:00"/>
    <s v="M"/>
    <x v="0"/>
    <x v="2"/>
    <x v="0"/>
    <x v="8"/>
    <x v="3"/>
    <x v="1"/>
    <x v="1"/>
  </r>
  <r>
    <x v="189"/>
    <x v="12"/>
    <x v="11"/>
    <n v="104"/>
    <n v="936"/>
    <x v="7"/>
    <d v="2025-01-10T00:00:00"/>
    <s v="F"/>
    <x v="2"/>
    <x v="2"/>
    <x v="0"/>
    <x v="17"/>
    <x v="1"/>
    <x v="1"/>
    <x v="2"/>
  </r>
  <r>
    <x v="190"/>
    <x v="6"/>
    <x v="1"/>
    <n v="51.8"/>
    <n v="103.6"/>
    <x v="7"/>
    <d v="2025-01-12T00:00:00"/>
    <s v=""/>
    <x v="0"/>
    <x v="2"/>
    <x v="0"/>
    <x v="10"/>
    <x v="5"/>
    <x v="1"/>
    <x v="0"/>
  </r>
  <r>
    <x v="191"/>
    <x v="10"/>
    <x v="9"/>
    <n v="34.5"/>
    <n v="172.5"/>
    <x v="7"/>
    <d v="2025-01-10T00:00:00"/>
    <s v=""/>
    <x v="2"/>
    <x v="2"/>
    <x v="0"/>
    <x v="11"/>
    <x v="1"/>
    <x v="1"/>
    <x v="0"/>
  </r>
  <r>
    <x v="192"/>
    <x v="6"/>
    <x v="1"/>
    <n v="51.8"/>
    <n v="103.6"/>
    <x v="7"/>
    <d v="2025-01-10T00:00:00"/>
    <s v="M"/>
    <x v="1"/>
    <x v="2"/>
    <x v="0"/>
    <x v="30"/>
    <x v="1"/>
    <x v="1"/>
    <x v="1"/>
  </r>
  <r>
    <x v="193"/>
    <x v="18"/>
    <x v="23"/>
    <n v="131.5"/>
    <n v="5654.5"/>
    <x v="7"/>
    <d v="2025-01-09T00:00:00"/>
    <s v="F"/>
    <x v="0"/>
    <x v="2"/>
    <x v="0"/>
    <x v="18"/>
    <x v="3"/>
    <x v="1"/>
    <x v="2"/>
  </r>
  <r>
    <x v="194"/>
    <x v="8"/>
    <x v="3"/>
    <n v="47.8"/>
    <n v="334.59999999999997"/>
    <x v="7"/>
    <d v="2025-01-08T00:00:00"/>
    <s v="F"/>
    <x v="0"/>
    <x v="0"/>
    <x v="0"/>
    <x v="19"/>
    <x v="7"/>
    <x v="1"/>
    <x v="2"/>
  </r>
  <r>
    <x v="195"/>
    <x v="0"/>
    <x v="1"/>
    <n v="10.199999999999999"/>
    <n v="20.399999999999999"/>
    <x v="7"/>
    <d v="2025-01-10T00:00:00"/>
    <s v="F"/>
    <x v="0"/>
    <x v="0"/>
    <x v="0"/>
    <x v="19"/>
    <x v="1"/>
    <x v="1"/>
    <x v="2"/>
  </r>
  <r>
    <x v="196"/>
    <x v="8"/>
    <x v="8"/>
    <n v="41"/>
    <n v="328"/>
    <x v="7"/>
    <d v="2025-01-08T00:00:00"/>
    <s v="F"/>
    <x v="1"/>
    <x v="2"/>
    <x v="0"/>
    <x v="19"/>
    <x v="7"/>
    <x v="1"/>
    <x v="2"/>
  </r>
  <r>
    <x v="197"/>
    <x v="10"/>
    <x v="3"/>
    <n v="50.8"/>
    <n v="355.59999999999997"/>
    <x v="7"/>
    <d v="2025-01-11T00:00:00"/>
    <s v="F"/>
    <x v="1"/>
    <x v="0"/>
    <x v="0"/>
    <x v="21"/>
    <x v="2"/>
    <x v="1"/>
    <x v="2"/>
  </r>
  <r>
    <x v="198"/>
    <x v="18"/>
    <x v="2"/>
    <n v="39.6"/>
    <n v="118.80000000000001"/>
    <x v="7"/>
    <d v="2025-01-09T00:00:00"/>
    <s v="M"/>
    <x v="2"/>
    <x v="2"/>
    <x v="0"/>
    <x v="1"/>
    <x v="3"/>
    <x v="1"/>
    <x v="1"/>
  </r>
  <r>
    <x v="199"/>
    <x v="5"/>
    <x v="1"/>
    <n v="69.5"/>
    <n v="139"/>
    <x v="7"/>
    <d v="2025-01-10T00:00:00"/>
    <s v="M"/>
    <x v="0"/>
    <x v="2"/>
    <x v="0"/>
    <x v="2"/>
    <x v="1"/>
    <x v="1"/>
    <x v="1"/>
  </r>
  <r>
    <x v="200"/>
    <x v="8"/>
    <x v="8"/>
    <n v="32.6"/>
    <n v="260.8"/>
    <x v="7"/>
    <d v="2025-01-11T00:00:00"/>
    <s v="M"/>
    <x v="1"/>
    <x v="0"/>
    <x v="0"/>
    <x v="3"/>
    <x v="2"/>
    <x v="1"/>
    <x v="1"/>
  </r>
  <r>
    <x v="201"/>
    <x v="7"/>
    <x v="1"/>
    <n v="49.1"/>
    <n v="98.2"/>
    <x v="7"/>
    <d v="2025-01-16T00:00:00"/>
    <s v="M"/>
    <x v="3"/>
    <x v="2"/>
    <x v="0"/>
    <x v="3"/>
    <x v="9"/>
    <x v="1"/>
    <x v="1"/>
  </r>
  <r>
    <x v="202"/>
    <x v="6"/>
    <x v="1"/>
    <n v="49.4"/>
    <n v="98.8"/>
    <x v="8"/>
    <d v="2025-01-10T00:00:00"/>
    <s v="F"/>
    <x v="2"/>
    <x v="0"/>
    <x v="0"/>
    <x v="3"/>
    <x v="3"/>
    <x v="1"/>
    <x v="2"/>
  </r>
  <r>
    <x v="203"/>
    <x v="7"/>
    <x v="3"/>
    <n v="65.099999999999994"/>
    <n v="455.69999999999993"/>
    <x v="8"/>
    <d v="2025-01-12T00:00:00"/>
    <s v="F"/>
    <x v="2"/>
    <x v="2"/>
    <x v="0"/>
    <x v="3"/>
    <x v="2"/>
    <x v="1"/>
    <x v="2"/>
  </r>
  <r>
    <x v="204"/>
    <x v="3"/>
    <x v="1"/>
    <n v="52.1"/>
    <n v="104.2"/>
    <x v="8"/>
    <d v="2025-01-13T00:00:00"/>
    <s v="F"/>
    <x v="2"/>
    <x v="0"/>
    <x v="0"/>
    <x v="3"/>
    <x v="5"/>
    <x v="1"/>
    <x v="2"/>
  </r>
  <r>
    <x v="205"/>
    <x v="2"/>
    <x v="12"/>
    <n v="129.19999999999999"/>
    <n v="516.79999999999995"/>
    <x v="8"/>
    <d v="2025-01-10T00:00:00"/>
    <s v="F"/>
    <x v="1"/>
    <x v="0"/>
    <x v="0"/>
    <x v="3"/>
    <x v="3"/>
    <x v="1"/>
    <x v="2"/>
  </r>
  <r>
    <x v="206"/>
    <x v="1"/>
    <x v="10"/>
    <n v="81.8"/>
    <n v="1554.2"/>
    <x v="8"/>
    <d v="2025-01-09T00:00:00"/>
    <s v="F"/>
    <x v="1"/>
    <x v="1"/>
    <x v="0"/>
    <x v="3"/>
    <x v="7"/>
    <x v="1"/>
    <x v="2"/>
  </r>
  <r>
    <x v="207"/>
    <x v="17"/>
    <x v="0"/>
    <n v="24.9"/>
    <n v="24.9"/>
    <x v="8"/>
    <d v="2025-01-13T00:00:00"/>
    <s v="F"/>
    <x v="1"/>
    <x v="0"/>
    <x v="0"/>
    <x v="3"/>
    <x v="5"/>
    <x v="1"/>
    <x v="2"/>
  </r>
  <r>
    <x v="208"/>
    <x v="0"/>
    <x v="2"/>
    <n v="49.4"/>
    <n v="148.19999999999999"/>
    <x v="8"/>
    <d v="2025-01-12T00:00:00"/>
    <s v="F"/>
    <x v="4"/>
    <x v="4"/>
    <x v="0"/>
    <x v="3"/>
    <x v="2"/>
    <x v="1"/>
    <x v="2"/>
  </r>
  <r>
    <x v="209"/>
    <x v="8"/>
    <x v="1"/>
    <n v="22.7"/>
    <n v="45.4"/>
    <x v="8"/>
    <d v="2025-01-10T00:00:00"/>
    <s v="M"/>
    <x v="3"/>
    <x v="2"/>
    <x v="0"/>
    <x v="3"/>
    <x v="3"/>
    <x v="1"/>
    <x v="1"/>
  </r>
  <r>
    <x v="210"/>
    <x v="1"/>
    <x v="0"/>
    <n v="77.3"/>
    <n v="77.3"/>
    <x v="8"/>
    <d v="2025-01-09T00:00:00"/>
    <s v="F"/>
    <x v="0"/>
    <x v="2"/>
    <x v="0"/>
    <x v="6"/>
    <x v="7"/>
    <x v="1"/>
    <x v="2"/>
  </r>
  <r>
    <x v="211"/>
    <x v="1"/>
    <x v="9"/>
    <n v="109.1"/>
    <n v="545.5"/>
    <x v="8"/>
    <d v="2025-01-12T00:00:00"/>
    <s v="F"/>
    <x v="0"/>
    <x v="0"/>
    <x v="0"/>
    <x v="6"/>
    <x v="2"/>
    <x v="1"/>
    <x v="2"/>
  </r>
  <r>
    <x v="212"/>
    <x v="2"/>
    <x v="12"/>
    <n v="53.9"/>
    <n v="215.6"/>
    <x v="8"/>
    <d v="2025-01-10T00:00:00"/>
    <s v="M"/>
    <x v="0"/>
    <x v="1"/>
    <x v="0"/>
    <x v="8"/>
    <x v="3"/>
    <x v="1"/>
    <x v="1"/>
  </r>
  <r>
    <x v="213"/>
    <x v="9"/>
    <x v="18"/>
    <n v="21.2"/>
    <n v="551.19999999999993"/>
    <x v="8"/>
    <d v="2025-01-09T00:00:00"/>
    <s v="F"/>
    <x v="0"/>
    <x v="0"/>
    <x v="0"/>
    <x v="9"/>
    <x v="7"/>
    <x v="1"/>
    <x v="2"/>
  </r>
  <r>
    <x v="214"/>
    <x v="16"/>
    <x v="12"/>
    <n v="69"/>
    <n v="276"/>
    <x v="8"/>
    <d v="2025-01-11T00:00:00"/>
    <s v="F"/>
    <x v="1"/>
    <x v="1"/>
    <x v="0"/>
    <x v="18"/>
    <x v="1"/>
    <x v="1"/>
    <x v="2"/>
  </r>
  <r>
    <x v="215"/>
    <x v="6"/>
    <x v="2"/>
    <n v="46.2"/>
    <n v="138.60000000000002"/>
    <x v="8"/>
    <d v="2025-01-11T00:00:00"/>
    <s v="F"/>
    <x v="0"/>
    <x v="2"/>
    <x v="0"/>
    <x v="31"/>
    <x v="1"/>
    <x v="1"/>
    <x v="2"/>
  </r>
  <r>
    <x v="216"/>
    <x v="1"/>
    <x v="9"/>
    <n v="97.4"/>
    <n v="487"/>
    <x v="8"/>
    <d v="2025-01-13T00:00:00"/>
    <s v="F"/>
    <x v="4"/>
    <x v="2"/>
    <x v="0"/>
    <x v="21"/>
    <x v="5"/>
    <x v="1"/>
    <x v="2"/>
  </r>
  <r>
    <x v="217"/>
    <x v="8"/>
    <x v="9"/>
    <n v="21"/>
    <n v="105"/>
    <x v="8"/>
    <d v="2025-01-10T00:00:00"/>
    <s v="M"/>
    <x v="0"/>
    <x v="1"/>
    <x v="0"/>
    <x v="21"/>
    <x v="3"/>
    <x v="1"/>
    <x v="1"/>
  </r>
  <r>
    <x v="218"/>
    <x v="5"/>
    <x v="1"/>
    <n v="32.700000000000003"/>
    <n v="65.400000000000006"/>
    <x v="9"/>
    <d v="2025-01-13T00:00:00"/>
    <s v="F"/>
    <x v="1"/>
    <x v="0"/>
    <x v="0"/>
    <x v="2"/>
    <x v="2"/>
    <x v="1"/>
    <x v="2"/>
  </r>
  <r>
    <x v="219"/>
    <x v="6"/>
    <x v="12"/>
    <n v="48"/>
    <n v="192"/>
    <x v="9"/>
    <d v="2025-01-11T00:00:00"/>
    <s v="M"/>
    <x v="3"/>
    <x v="0"/>
    <x v="0"/>
    <x v="3"/>
    <x v="3"/>
    <x v="1"/>
    <x v="1"/>
  </r>
  <r>
    <x v="220"/>
    <x v="6"/>
    <x v="2"/>
    <n v="68.2"/>
    <n v="204.60000000000002"/>
    <x v="9"/>
    <d v="2025-01-14T00:00:00"/>
    <s v=""/>
    <x v="0"/>
    <x v="2"/>
    <x v="0"/>
    <x v="3"/>
    <x v="5"/>
    <x v="1"/>
    <x v="0"/>
  </r>
  <r>
    <x v="221"/>
    <x v="5"/>
    <x v="0"/>
    <n v="45.4"/>
    <n v="45.4"/>
    <x v="9"/>
    <d v="2025-01-12T00:00:00"/>
    <s v="M"/>
    <x v="1"/>
    <x v="0"/>
    <x v="0"/>
    <x v="3"/>
    <x v="1"/>
    <x v="1"/>
    <x v="1"/>
  </r>
  <r>
    <x v="222"/>
    <x v="12"/>
    <x v="1"/>
    <n v="53.9"/>
    <n v="107.8"/>
    <x v="9"/>
    <d v="2025-01-11T00:00:00"/>
    <s v="F"/>
    <x v="2"/>
    <x v="0"/>
    <x v="0"/>
    <x v="3"/>
    <x v="3"/>
    <x v="1"/>
    <x v="2"/>
  </r>
  <r>
    <x v="223"/>
    <x v="2"/>
    <x v="12"/>
    <n v="62.1"/>
    <n v="248.4"/>
    <x v="9"/>
    <d v="2025-01-14T00:00:00"/>
    <s v="F"/>
    <x v="0"/>
    <x v="0"/>
    <x v="0"/>
    <x v="4"/>
    <x v="5"/>
    <x v="1"/>
    <x v="2"/>
  </r>
  <r>
    <x v="224"/>
    <x v="13"/>
    <x v="3"/>
    <n v="33.1"/>
    <n v="231.70000000000002"/>
    <x v="9"/>
    <d v="2025-01-15T00:00:00"/>
    <s v="M"/>
    <x v="1"/>
    <x v="0"/>
    <x v="0"/>
    <x v="6"/>
    <x v="0"/>
    <x v="1"/>
    <x v="1"/>
  </r>
  <r>
    <x v="225"/>
    <x v="18"/>
    <x v="9"/>
    <n v="35.200000000000003"/>
    <n v="176"/>
    <x v="9"/>
    <d v="2025-01-10T00:00:00"/>
    <s v="F"/>
    <x v="1"/>
    <x v="0"/>
    <x v="0"/>
    <x v="6"/>
    <x v="7"/>
    <x v="1"/>
    <x v="2"/>
  </r>
  <r>
    <x v="226"/>
    <x v="9"/>
    <x v="2"/>
    <n v="32.1"/>
    <n v="96.300000000000011"/>
    <x v="9"/>
    <d v="2025-01-15T00:00:00"/>
    <s v="M"/>
    <x v="3"/>
    <x v="0"/>
    <x v="0"/>
    <x v="8"/>
    <x v="0"/>
    <x v="1"/>
    <x v="1"/>
  </r>
  <r>
    <x v="227"/>
    <x v="11"/>
    <x v="0"/>
    <n v="38.1"/>
    <n v="38.1"/>
    <x v="9"/>
    <d v="2025-01-15T00:00:00"/>
    <s v="F"/>
    <x v="0"/>
    <x v="2"/>
    <x v="0"/>
    <x v="8"/>
    <x v="0"/>
    <x v="1"/>
    <x v="2"/>
  </r>
  <r>
    <x v="228"/>
    <x v="8"/>
    <x v="0"/>
    <n v="65.2"/>
    <n v="65.2"/>
    <x v="9"/>
    <d v="2025-01-15T00:00:00"/>
    <s v="F"/>
    <x v="3"/>
    <x v="1"/>
    <x v="0"/>
    <x v="8"/>
    <x v="0"/>
    <x v="1"/>
    <x v="2"/>
  </r>
  <r>
    <x v="229"/>
    <x v="10"/>
    <x v="3"/>
    <n v="55.2"/>
    <n v="386.40000000000003"/>
    <x v="9"/>
    <d v="2025-01-11T00:00:00"/>
    <s v="M"/>
    <x v="2"/>
    <x v="0"/>
    <x v="0"/>
    <x v="11"/>
    <x v="3"/>
    <x v="1"/>
    <x v="1"/>
  </r>
  <r>
    <x v="230"/>
    <x v="6"/>
    <x v="0"/>
    <n v="62"/>
    <n v="62"/>
    <x v="9"/>
    <d v="2025-01-14T00:00:00"/>
    <s v="F"/>
    <x v="0"/>
    <x v="0"/>
    <x v="0"/>
    <x v="11"/>
    <x v="5"/>
    <x v="1"/>
    <x v="2"/>
  </r>
  <r>
    <x v="231"/>
    <x v="7"/>
    <x v="2"/>
    <n v="45.9"/>
    <n v="137.69999999999999"/>
    <x v="9"/>
    <d v="2025-01-11T00:00:00"/>
    <s v="F"/>
    <x v="2"/>
    <x v="0"/>
    <x v="0"/>
    <x v="32"/>
    <x v="3"/>
    <x v="1"/>
    <x v="2"/>
  </r>
  <r>
    <x v="232"/>
    <x v="18"/>
    <x v="2"/>
    <n v="58.3"/>
    <n v="174.89999999999998"/>
    <x v="9"/>
    <d v="2025-01-10T00:00:00"/>
    <s v="M"/>
    <x v="1"/>
    <x v="1"/>
    <x v="0"/>
    <x v="18"/>
    <x v="7"/>
    <x v="1"/>
    <x v="1"/>
  </r>
  <r>
    <x v="233"/>
    <x v="8"/>
    <x v="1"/>
    <n v="22.3"/>
    <n v="44.6"/>
    <x v="9"/>
    <d v="2025-01-13T00:00:00"/>
    <s v="F"/>
    <x v="0"/>
    <x v="2"/>
    <x v="0"/>
    <x v="20"/>
    <x v="2"/>
    <x v="1"/>
    <x v="2"/>
  </r>
  <r>
    <x v="234"/>
    <x v="19"/>
    <x v="9"/>
    <n v="24"/>
    <n v="120"/>
    <x v="9"/>
    <d v="2025-01-11T00:00:00"/>
    <s v="M"/>
    <x v="4"/>
    <x v="0"/>
    <x v="0"/>
    <x v="1"/>
    <x v="3"/>
    <x v="1"/>
    <x v="1"/>
  </r>
  <r>
    <x v="235"/>
    <x v="0"/>
    <x v="7"/>
    <n v="21.3"/>
    <n v="213"/>
    <x v="9"/>
    <d v="2025-01-10T00:00:00"/>
    <s v="F"/>
    <x v="1"/>
    <x v="2"/>
    <x v="0"/>
    <x v="22"/>
    <x v="7"/>
    <x v="1"/>
    <x v="2"/>
  </r>
  <r>
    <x v="236"/>
    <x v="6"/>
    <x v="24"/>
    <n v="57.8"/>
    <n v="2369.7999999999997"/>
    <x v="9"/>
    <d v="2025-01-12T00:00:00"/>
    <s v="F"/>
    <x v="0"/>
    <x v="2"/>
    <x v="0"/>
    <x v="3"/>
    <x v="1"/>
    <x v="1"/>
    <x v="2"/>
  </r>
  <r>
    <x v="237"/>
    <x v="10"/>
    <x v="2"/>
    <n v="67.599999999999994"/>
    <n v="202.79999999999998"/>
    <x v="9"/>
    <d v="2025-01-11T00:00:00"/>
    <s v="F"/>
    <x v="0"/>
    <x v="0"/>
    <x v="0"/>
    <x v="3"/>
    <x v="3"/>
    <x v="1"/>
    <x v="2"/>
  </r>
  <r>
    <x v="238"/>
    <x v="6"/>
    <x v="13"/>
    <n v="66.7"/>
    <n v="400.20000000000005"/>
    <x v="9"/>
    <d v="2025-01-14T00:00:00"/>
    <s v="M"/>
    <x v="4"/>
    <x v="1"/>
    <x v="0"/>
    <x v="3"/>
    <x v="5"/>
    <x v="1"/>
    <x v="1"/>
  </r>
  <r>
    <x v="239"/>
    <x v="1"/>
    <x v="12"/>
    <n v="53.1"/>
    <n v="212.4"/>
    <x v="9"/>
    <d v="2025-01-12T00:00:00"/>
    <s v="F"/>
    <x v="1"/>
    <x v="0"/>
    <x v="0"/>
    <x v="3"/>
    <x v="1"/>
    <x v="1"/>
    <x v="2"/>
  </r>
  <r>
    <x v="240"/>
    <x v="12"/>
    <x v="2"/>
    <n v="57.4"/>
    <n v="172.2"/>
    <x v="9"/>
    <d v="2025-01-13T00:00:00"/>
    <s v="F"/>
    <x v="0"/>
    <x v="2"/>
    <x v="0"/>
    <x v="29"/>
    <x v="2"/>
    <x v="1"/>
    <x v="2"/>
  </r>
  <r>
    <x v="241"/>
    <x v="2"/>
    <x v="9"/>
    <n v="58.1"/>
    <n v="290.5"/>
    <x v="9"/>
    <d v="2025-01-10T00:00:00"/>
    <s v="M"/>
    <x v="2"/>
    <x v="2"/>
    <x v="0"/>
    <x v="6"/>
    <x v="7"/>
    <x v="1"/>
    <x v="1"/>
  </r>
  <r>
    <x v="242"/>
    <x v="5"/>
    <x v="2"/>
    <n v="31.8"/>
    <n v="95.4"/>
    <x v="10"/>
    <d v="2025-01-13T00:00:00"/>
    <s v="M"/>
    <x v="3"/>
    <x v="0"/>
    <x v="0"/>
    <x v="6"/>
    <x v="1"/>
    <x v="1"/>
    <x v="1"/>
  </r>
  <r>
    <x v="243"/>
    <x v="4"/>
    <x v="2"/>
    <n v="31.5"/>
    <n v="94.5"/>
    <x v="10"/>
    <d v="2025-01-14T00:00:00"/>
    <s v="M"/>
    <x v="0"/>
    <x v="1"/>
    <x v="0"/>
    <x v="8"/>
    <x v="2"/>
    <x v="1"/>
    <x v="1"/>
  </r>
  <r>
    <x v="244"/>
    <x v="6"/>
    <x v="3"/>
    <n v="55.9"/>
    <n v="391.3"/>
    <x v="10"/>
    <d v="2025-01-15T00:00:00"/>
    <s v="F"/>
    <x v="1"/>
    <x v="2"/>
    <x v="0"/>
    <x v="8"/>
    <x v="5"/>
    <x v="1"/>
    <x v="2"/>
  </r>
  <r>
    <x v="245"/>
    <x v="8"/>
    <x v="1"/>
    <n v="36.4"/>
    <n v="72.8"/>
    <x v="10"/>
    <d v="2025-01-12T00:00:00"/>
    <s v="M"/>
    <x v="1"/>
    <x v="1"/>
    <x v="0"/>
    <x v="9"/>
    <x v="3"/>
    <x v="1"/>
    <x v="1"/>
  </r>
  <r>
    <x v="246"/>
    <x v="1"/>
    <x v="9"/>
    <n v="47.3"/>
    <n v="236.5"/>
    <x v="10"/>
    <d v="2025-01-14T00:00:00"/>
    <s v="M"/>
    <x v="2"/>
    <x v="0"/>
    <x v="0"/>
    <x v="10"/>
    <x v="2"/>
    <x v="1"/>
    <x v="1"/>
  </r>
  <r>
    <x v="247"/>
    <x v="6"/>
    <x v="2"/>
    <n v="82.5"/>
    <n v="247.5"/>
    <x v="10"/>
    <d v="2025-01-12T00:00:00"/>
    <s v="M"/>
    <x v="0"/>
    <x v="0"/>
    <x v="0"/>
    <x v="11"/>
    <x v="3"/>
    <x v="1"/>
    <x v="1"/>
  </r>
  <r>
    <x v="248"/>
    <x v="0"/>
    <x v="0"/>
    <n v="14.3"/>
    <n v="14.3"/>
    <x v="10"/>
    <d v="2025-01-12T00:00:00"/>
    <s v="F"/>
    <x v="0"/>
    <x v="0"/>
    <x v="0"/>
    <x v="21"/>
    <x v="3"/>
    <x v="1"/>
    <x v="2"/>
  </r>
  <r>
    <x v="249"/>
    <x v="2"/>
    <x v="13"/>
    <n v="57.6"/>
    <n v="345.6"/>
    <x v="10"/>
    <d v="2025-01-25T00:00:00"/>
    <s v="F"/>
    <x v="0"/>
    <x v="0"/>
    <x v="0"/>
    <x v="21"/>
    <x v="12"/>
    <x v="1"/>
    <x v="2"/>
  </r>
  <r>
    <x v="250"/>
    <x v="2"/>
    <x v="2"/>
    <n v="142.4"/>
    <n v="427.20000000000005"/>
    <x v="10"/>
    <d v="2025-01-13T00:00:00"/>
    <s v="M"/>
    <x v="4"/>
    <x v="1"/>
    <x v="0"/>
    <x v="21"/>
    <x v="1"/>
    <x v="1"/>
    <x v="1"/>
  </r>
  <r>
    <x v="251"/>
    <x v="12"/>
    <x v="0"/>
    <n v="30.2"/>
    <n v="30.2"/>
    <x v="10"/>
    <d v="2025-01-15T00:00:00"/>
    <s v="M"/>
    <x v="1"/>
    <x v="2"/>
    <x v="0"/>
    <x v="2"/>
    <x v="5"/>
    <x v="1"/>
    <x v="1"/>
  </r>
  <r>
    <x v="252"/>
    <x v="18"/>
    <x v="2"/>
    <n v="65.3"/>
    <n v="195.89999999999998"/>
    <x v="10"/>
    <d v="2025-01-12T00:00:00"/>
    <s v="O"/>
    <x v="1"/>
    <x v="0"/>
    <x v="0"/>
    <x v="33"/>
    <x v="3"/>
    <x v="1"/>
    <x v="3"/>
  </r>
  <r>
    <x v="253"/>
    <x v="0"/>
    <x v="1"/>
    <n v="33.4"/>
    <n v="66.8"/>
    <x v="10"/>
    <d v="2025-01-12T00:00:00"/>
    <s v="M"/>
    <x v="1"/>
    <x v="1"/>
    <x v="0"/>
    <x v="22"/>
    <x v="3"/>
    <x v="1"/>
    <x v="1"/>
  </r>
  <r>
    <x v="254"/>
    <x v="7"/>
    <x v="1"/>
    <n v="45.1"/>
    <n v="90.2"/>
    <x v="10"/>
    <d v="2025-01-19T00:00:00"/>
    <s v="M"/>
    <x v="0"/>
    <x v="0"/>
    <x v="0"/>
    <x v="34"/>
    <x v="9"/>
    <x v="1"/>
    <x v="1"/>
  </r>
  <r>
    <x v="255"/>
    <x v="2"/>
    <x v="3"/>
    <n v="61.7"/>
    <n v="431.90000000000003"/>
    <x v="10"/>
    <d v="2025-01-13T00:00:00"/>
    <s v="F"/>
    <x v="4"/>
    <x v="0"/>
    <x v="0"/>
    <x v="3"/>
    <x v="1"/>
    <x v="1"/>
    <x v="2"/>
  </r>
  <r>
    <x v="256"/>
    <x v="9"/>
    <x v="2"/>
    <n v="45.1"/>
    <n v="135.30000000000001"/>
    <x v="11"/>
    <d v="2025-01-13T00:00:00"/>
    <s v="M"/>
    <x v="4"/>
    <x v="1"/>
    <x v="0"/>
    <x v="3"/>
    <x v="3"/>
    <x v="2"/>
    <x v="1"/>
  </r>
  <r>
    <x v="257"/>
    <x v="15"/>
    <x v="9"/>
    <n v="22.7"/>
    <n v="113.5"/>
    <x v="11"/>
    <d v="2025-01-17T00:00:00"/>
    <s v="M"/>
    <x v="0"/>
    <x v="2"/>
    <x v="0"/>
    <x v="35"/>
    <x v="0"/>
    <x v="2"/>
    <x v="1"/>
  </r>
  <r>
    <x v="258"/>
    <x v="8"/>
    <x v="0"/>
    <n v="17.600000000000001"/>
    <n v="17.600000000000001"/>
    <x v="11"/>
    <d v="2025-01-13T00:00:00"/>
    <s v="F"/>
    <x v="0"/>
    <x v="2"/>
    <x v="0"/>
    <x v="23"/>
    <x v="3"/>
    <x v="2"/>
    <x v="2"/>
  </r>
  <r>
    <x v="259"/>
    <x v="14"/>
    <x v="1"/>
    <n v="11.3"/>
    <n v="22.6"/>
    <x v="11"/>
    <d v="2025-01-15T00:00:00"/>
    <s v="F"/>
    <x v="3"/>
    <x v="2"/>
    <x v="0"/>
    <x v="23"/>
    <x v="2"/>
    <x v="2"/>
    <x v="2"/>
  </r>
  <r>
    <x v="260"/>
    <x v="6"/>
    <x v="2"/>
    <n v="53.4"/>
    <n v="160.19999999999999"/>
    <x v="11"/>
    <d v="2025-01-15T00:00:00"/>
    <s v="M"/>
    <x v="3"/>
    <x v="2"/>
    <x v="0"/>
    <x v="36"/>
    <x v="2"/>
    <x v="2"/>
    <x v="1"/>
  </r>
  <r>
    <x v="261"/>
    <x v="6"/>
    <x v="5"/>
    <n v="51.1"/>
    <n v="562.1"/>
    <x v="11"/>
    <d v="2025-01-14T00:00:00"/>
    <s v="F"/>
    <x v="2"/>
    <x v="2"/>
    <x v="0"/>
    <x v="8"/>
    <x v="1"/>
    <x v="2"/>
    <x v="2"/>
  </r>
  <r>
    <x v="262"/>
    <x v="8"/>
    <x v="1"/>
    <n v="27.5"/>
    <n v="55"/>
    <x v="11"/>
    <d v="2025-01-13T00:00:00"/>
    <s v="M"/>
    <x v="4"/>
    <x v="1"/>
    <x v="0"/>
    <x v="8"/>
    <x v="3"/>
    <x v="2"/>
    <x v="1"/>
  </r>
  <r>
    <x v="263"/>
    <x v="9"/>
    <x v="0"/>
    <n v="33.5"/>
    <n v="33.5"/>
    <x v="11"/>
    <d v="2025-01-14T00:00:00"/>
    <s v="F"/>
    <x v="0"/>
    <x v="4"/>
    <x v="0"/>
    <x v="8"/>
    <x v="1"/>
    <x v="2"/>
    <x v="2"/>
  </r>
  <r>
    <x v="264"/>
    <x v="4"/>
    <x v="0"/>
    <n v="59.5"/>
    <n v="59.5"/>
    <x v="11"/>
    <d v="2025-01-12T00:00:00"/>
    <s v="M"/>
    <x v="0"/>
    <x v="2"/>
    <x v="0"/>
    <x v="18"/>
    <x v="7"/>
    <x v="2"/>
    <x v="1"/>
  </r>
  <r>
    <x v="265"/>
    <x v="17"/>
    <x v="12"/>
    <n v="23.5"/>
    <n v="94"/>
    <x v="11"/>
    <d v="2025-01-13T00:00:00"/>
    <s v="F"/>
    <x v="3"/>
    <x v="3"/>
    <x v="0"/>
    <x v="19"/>
    <x v="3"/>
    <x v="2"/>
    <x v="2"/>
  </r>
  <r>
    <x v="266"/>
    <x v="6"/>
    <x v="0"/>
    <n v="49.7"/>
    <n v="49.7"/>
    <x v="11"/>
    <d v="2025-01-13T00:00:00"/>
    <s v=""/>
    <x v="1"/>
    <x v="2"/>
    <x v="0"/>
    <x v="20"/>
    <x v="3"/>
    <x v="2"/>
    <x v="0"/>
  </r>
  <r>
    <x v="267"/>
    <x v="6"/>
    <x v="12"/>
    <n v="44.2"/>
    <n v="176.8"/>
    <x v="11"/>
    <d v="2025-01-15T00:00:00"/>
    <s v="F"/>
    <x v="0"/>
    <x v="2"/>
    <x v="0"/>
    <x v="21"/>
    <x v="2"/>
    <x v="2"/>
    <x v="2"/>
  </r>
  <r>
    <x v="268"/>
    <x v="8"/>
    <x v="0"/>
    <n v="22.1"/>
    <n v="22.1"/>
    <x v="11"/>
    <d v="2025-01-16T00:00:00"/>
    <s v="F"/>
    <x v="1"/>
    <x v="1"/>
    <x v="0"/>
    <x v="33"/>
    <x v="5"/>
    <x v="2"/>
    <x v="2"/>
  </r>
  <r>
    <x v="269"/>
    <x v="6"/>
    <x v="2"/>
    <n v="90.9"/>
    <n v="272.70000000000005"/>
    <x v="11"/>
    <d v="2025-01-13T00:00:00"/>
    <s v="F"/>
    <x v="2"/>
    <x v="4"/>
    <x v="0"/>
    <x v="3"/>
    <x v="3"/>
    <x v="2"/>
    <x v="2"/>
  </r>
  <r>
    <x v="270"/>
    <x v="8"/>
    <x v="2"/>
    <n v="44.5"/>
    <n v="133.5"/>
    <x v="11"/>
    <d v="2025-01-13T00:00:00"/>
    <s v="F"/>
    <x v="1"/>
    <x v="0"/>
    <x v="0"/>
    <x v="3"/>
    <x v="3"/>
    <x v="2"/>
    <x v="2"/>
  </r>
  <r>
    <x v="271"/>
    <x v="9"/>
    <x v="13"/>
    <n v="32.299999999999997"/>
    <n v="193.79999999999998"/>
    <x v="11"/>
    <d v="2025-01-16T00:00:00"/>
    <s v="F"/>
    <x v="0"/>
    <x v="0"/>
    <x v="0"/>
    <x v="3"/>
    <x v="5"/>
    <x v="2"/>
    <x v="2"/>
  </r>
  <r>
    <x v="272"/>
    <x v="17"/>
    <x v="2"/>
    <n v="87.5"/>
    <n v="262.5"/>
    <x v="11"/>
    <d v="2025-01-13T00:00:00"/>
    <s v="F"/>
    <x v="1"/>
    <x v="1"/>
    <x v="0"/>
    <x v="3"/>
    <x v="3"/>
    <x v="2"/>
    <x v="2"/>
  </r>
  <r>
    <x v="273"/>
    <x v="16"/>
    <x v="9"/>
    <n v="48.7"/>
    <n v="243.5"/>
    <x v="11"/>
    <d v="2025-01-13T00:00:00"/>
    <s v="M"/>
    <x v="2"/>
    <x v="0"/>
    <x v="0"/>
    <x v="3"/>
    <x v="3"/>
    <x v="2"/>
    <x v="1"/>
  </r>
  <r>
    <x v="274"/>
    <x v="0"/>
    <x v="9"/>
    <n v="22.5"/>
    <n v="112.5"/>
    <x v="11"/>
    <d v="2025-01-13T00:00:00"/>
    <s v="M"/>
    <x v="0"/>
    <x v="0"/>
    <x v="0"/>
    <x v="3"/>
    <x v="3"/>
    <x v="2"/>
    <x v="1"/>
  </r>
  <r>
    <x v="275"/>
    <x v="1"/>
    <x v="8"/>
    <n v="65.900000000000006"/>
    <n v="527.20000000000005"/>
    <x v="11"/>
    <d v="2025-01-15T00:00:00"/>
    <s v="F"/>
    <x v="1"/>
    <x v="2"/>
    <x v="0"/>
    <x v="3"/>
    <x v="2"/>
    <x v="2"/>
    <x v="2"/>
  </r>
  <r>
    <x v="276"/>
    <x v="6"/>
    <x v="9"/>
    <n v="41.9"/>
    <n v="209.5"/>
    <x v="11"/>
    <d v="2025-01-19T00:00:00"/>
    <s v=""/>
    <x v="0"/>
    <x v="0"/>
    <x v="0"/>
    <x v="3"/>
    <x v="6"/>
    <x v="2"/>
    <x v="0"/>
  </r>
  <r>
    <x v="277"/>
    <x v="1"/>
    <x v="9"/>
    <n v="67.5"/>
    <n v="337.5"/>
    <x v="11"/>
    <d v="2025-01-13T00:00:00"/>
    <s v="F"/>
    <x v="0"/>
    <x v="2"/>
    <x v="0"/>
    <x v="3"/>
    <x v="3"/>
    <x v="2"/>
    <x v="2"/>
  </r>
  <r>
    <x v="278"/>
    <x v="9"/>
    <x v="0"/>
    <n v="60.4"/>
    <n v="60.4"/>
    <x v="12"/>
    <d v="2025-01-15T00:00:00"/>
    <s v="F"/>
    <x v="1"/>
    <x v="1"/>
    <x v="0"/>
    <x v="3"/>
    <x v="1"/>
    <x v="2"/>
    <x v="2"/>
  </r>
  <r>
    <x v="279"/>
    <x v="1"/>
    <x v="3"/>
    <n v="30.4"/>
    <n v="212.79999999999998"/>
    <x v="12"/>
    <d v="2025-01-16T00:00:00"/>
    <s v="F"/>
    <x v="4"/>
    <x v="0"/>
    <x v="0"/>
    <x v="3"/>
    <x v="2"/>
    <x v="2"/>
    <x v="2"/>
  </r>
  <r>
    <x v="280"/>
    <x v="14"/>
    <x v="1"/>
    <n v="24.5"/>
    <n v="49"/>
    <x v="12"/>
    <d v="2025-01-14T00:00:00"/>
    <s v="M"/>
    <x v="3"/>
    <x v="2"/>
    <x v="0"/>
    <x v="3"/>
    <x v="3"/>
    <x v="2"/>
    <x v="1"/>
  </r>
  <r>
    <x v="281"/>
    <x v="2"/>
    <x v="2"/>
    <n v="105.9"/>
    <n v="317.70000000000005"/>
    <x v="12"/>
    <d v="2025-01-18T00:00:00"/>
    <s v="M"/>
    <x v="0"/>
    <x v="0"/>
    <x v="0"/>
    <x v="37"/>
    <x v="0"/>
    <x v="2"/>
    <x v="1"/>
  </r>
  <r>
    <x v="282"/>
    <x v="10"/>
    <x v="25"/>
    <n v="25.9"/>
    <n v="621.59999999999991"/>
    <x v="12"/>
    <d v="2025-01-14T00:00:00"/>
    <s v="F"/>
    <x v="4"/>
    <x v="0"/>
    <x v="0"/>
    <x v="23"/>
    <x v="3"/>
    <x v="2"/>
    <x v="2"/>
  </r>
  <r>
    <x v="283"/>
    <x v="6"/>
    <x v="2"/>
    <n v="66.8"/>
    <n v="200.39999999999998"/>
    <x v="12"/>
    <d v="2025-01-13T00:00:00"/>
    <s v="M"/>
    <x v="0"/>
    <x v="0"/>
    <x v="0"/>
    <x v="23"/>
    <x v="7"/>
    <x v="2"/>
    <x v="1"/>
  </r>
  <r>
    <x v="284"/>
    <x v="6"/>
    <x v="2"/>
    <n v="112.3"/>
    <n v="336.9"/>
    <x v="12"/>
    <d v="2025-01-14T00:00:00"/>
    <s v="M"/>
    <x v="2"/>
    <x v="4"/>
    <x v="0"/>
    <x v="6"/>
    <x v="3"/>
    <x v="2"/>
    <x v="1"/>
  </r>
  <r>
    <x v="285"/>
    <x v="1"/>
    <x v="13"/>
    <n v="94.1"/>
    <n v="564.59999999999991"/>
    <x v="12"/>
    <d v="2025-01-14T00:00:00"/>
    <s v="F"/>
    <x v="0"/>
    <x v="4"/>
    <x v="0"/>
    <x v="6"/>
    <x v="3"/>
    <x v="2"/>
    <x v="2"/>
  </r>
  <r>
    <x v="286"/>
    <x v="5"/>
    <x v="0"/>
    <n v="40.700000000000003"/>
    <n v="40.700000000000003"/>
    <x v="12"/>
    <d v="2025-01-16T00:00:00"/>
    <s v="F"/>
    <x v="2"/>
    <x v="0"/>
    <x v="0"/>
    <x v="6"/>
    <x v="2"/>
    <x v="2"/>
    <x v="2"/>
  </r>
  <r>
    <x v="287"/>
    <x v="3"/>
    <x v="1"/>
    <n v="71.400000000000006"/>
    <n v="142.80000000000001"/>
    <x v="12"/>
    <d v="2025-01-14T00:00:00"/>
    <s v="M"/>
    <x v="0"/>
    <x v="0"/>
    <x v="0"/>
    <x v="7"/>
    <x v="3"/>
    <x v="2"/>
    <x v="1"/>
  </r>
  <r>
    <x v="288"/>
    <x v="0"/>
    <x v="16"/>
    <n v="15.6"/>
    <n v="280.8"/>
    <x v="12"/>
    <d v="2025-01-14T00:00:00"/>
    <s v="M"/>
    <x v="1"/>
    <x v="3"/>
    <x v="0"/>
    <x v="8"/>
    <x v="3"/>
    <x v="2"/>
    <x v="1"/>
  </r>
  <r>
    <x v="289"/>
    <x v="10"/>
    <x v="12"/>
    <n v="37.799999999999997"/>
    <n v="151.19999999999999"/>
    <x v="12"/>
    <d v="2025-01-14T00:00:00"/>
    <s v="M"/>
    <x v="2"/>
    <x v="2"/>
    <x v="0"/>
    <x v="8"/>
    <x v="3"/>
    <x v="2"/>
    <x v="1"/>
  </r>
  <r>
    <x v="290"/>
    <x v="4"/>
    <x v="2"/>
    <n v="28.1"/>
    <n v="84.300000000000011"/>
    <x v="12"/>
    <d v="2025-01-17T00:00:00"/>
    <s v="M"/>
    <x v="0"/>
    <x v="0"/>
    <x v="0"/>
    <x v="8"/>
    <x v="5"/>
    <x v="2"/>
    <x v="1"/>
  </r>
  <r>
    <x v="291"/>
    <x v="7"/>
    <x v="13"/>
    <n v="51.4"/>
    <n v="308.39999999999998"/>
    <x v="12"/>
    <d v="2025-01-17T00:00:00"/>
    <s v="M"/>
    <x v="0"/>
    <x v="0"/>
    <x v="0"/>
    <x v="8"/>
    <x v="5"/>
    <x v="2"/>
    <x v="1"/>
  </r>
  <r>
    <x v="292"/>
    <x v="7"/>
    <x v="1"/>
    <n v="97.7"/>
    <n v="195.4"/>
    <x v="12"/>
    <d v="2025-01-15T00:00:00"/>
    <s v="F"/>
    <x v="4"/>
    <x v="2"/>
    <x v="0"/>
    <x v="17"/>
    <x v="1"/>
    <x v="2"/>
    <x v="2"/>
  </r>
  <r>
    <x v="293"/>
    <x v="1"/>
    <x v="12"/>
    <n v="63.8"/>
    <n v="255.2"/>
    <x v="12"/>
    <d v="2025-01-14T00:00:00"/>
    <s v="M"/>
    <x v="2"/>
    <x v="0"/>
    <x v="0"/>
    <x v="38"/>
    <x v="3"/>
    <x v="2"/>
    <x v="1"/>
  </r>
  <r>
    <x v="294"/>
    <x v="13"/>
    <x v="1"/>
    <n v="20.100000000000001"/>
    <n v="40.200000000000003"/>
    <x v="12"/>
    <d v="2025-01-15T00:00:00"/>
    <s v="M"/>
    <x v="0"/>
    <x v="2"/>
    <x v="0"/>
    <x v="20"/>
    <x v="1"/>
    <x v="2"/>
    <x v="1"/>
  </r>
  <r>
    <x v="295"/>
    <x v="11"/>
    <x v="2"/>
    <n v="50.4"/>
    <n v="151.19999999999999"/>
    <x v="12"/>
    <d v="2025-01-16T00:00:00"/>
    <s v="F"/>
    <x v="3"/>
    <x v="0"/>
    <x v="0"/>
    <x v="13"/>
    <x v="2"/>
    <x v="2"/>
    <x v="2"/>
  </r>
  <r>
    <x v="296"/>
    <x v="0"/>
    <x v="0"/>
    <n v="16.2"/>
    <n v="16.2"/>
    <x v="12"/>
    <d v="2025-01-26T00:00:00"/>
    <s v="F"/>
    <x v="1"/>
    <x v="0"/>
    <x v="0"/>
    <x v="1"/>
    <x v="10"/>
    <x v="2"/>
    <x v="2"/>
  </r>
  <r>
    <x v="297"/>
    <x v="6"/>
    <x v="3"/>
    <n v="80.900000000000006"/>
    <n v="566.30000000000007"/>
    <x v="12"/>
    <d v="2025-01-15T00:00:00"/>
    <s v="M"/>
    <x v="4"/>
    <x v="4"/>
    <x v="0"/>
    <x v="2"/>
    <x v="1"/>
    <x v="2"/>
    <x v="1"/>
  </r>
  <r>
    <x v="298"/>
    <x v="9"/>
    <x v="13"/>
    <n v="95.2"/>
    <n v="571.20000000000005"/>
    <x v="12"/>
    <d v="2025-01-15T00:00:00"/>
    <s v="F"/>
    <x v="0"/>
    <x v="2"/>
    <x v="0"/>
    <x v="2"/>
    <x v="1"/>
    <x v="2"/>
    <x v="2"/>
  </r>
  <r>
    <x v="299"/>
    <x v="5"/>
    <x v="8"/>
    <n v="70.400000000000006"/>
    <n v="563.20000000000005"/>
    <x v="12"/>
    <d v="2025-01-14T00:00:00"/>
    <s v="M"/>
    <x v="1"/>
    <x v="1"/>
    <x v="0"/>
    <x v="3"/>
    <x v="3"/>
    <x v="2"/>
    <x v="1"/>
  </r>
  <r>
    <x v="300"/>
    <x v="0"/>
    <x v="9"/>
    <n v="10.7"/>
    <n v="53.5"/>
    <x v="12"/>
    <d v="2025-01-17T00:00:00"/>
    <s v="F"/>
    <x v="2"/>
    <x v="0"/>
    <x v="0"/>
    <x v="3"/>
    <x v="5"/>
    <x v="2"/>
    <x v="2"/>
  </r>
  <r>
    <x v="301"/>
    <x v="8"/>
    <x v="9"/>
    <n v="19.600000000000001"/>
    <n v="98"/>
    <x v="12"/>
    <d v="2025-01-15T00:00:00"/>
    <s v="F"/>
    <x v="0"/>
    <x v="3"/>
    <x v="0"/>
    <x v="3"/>
    <x v="1"/>
    <x v="2"/>
    <x v="2"/>
  </r>
  <r>
    <x v="302"/>
    <x v="8"/>
    <x v="5"/>
    <n v="34.700000000000003"/>
    <n v="381.70000000000005"/>
    <x v="12"/>
    <d v="2025-01-15T00:00:00"/>
    <s v="F"/>
    <x v="0"/>
    <x v="2"/>
    <x v="0"/>
    <x v="3"/>
    <x v="1"/>
    <x v="2"/>
    <x v="2"/>
  </r>
  <r>
    <x v="303"/>
    <x v="10"/>
    <x v="11"/>
    <n v="34.1"/>
    <n v="306.90000000000003"/>
    <x v="12"/>
    <d v="2025-01-14T00:00:00"/>
    <s v="F"/>
    <x v="4"/>
    <x v="1"/>
    <x v="0"/>
    <x v="3"/>
    <x v="3"/>
    <x v="2"/>
    <x v="2"/>
  </r>
  <r>
    <x v="304"/>
    <x v="0"/>
    <x v="26"/>
    <n v="29.3"/>
    <n v="1435.7"/>
    <x v="12"/>
    <d v="2025-01-13T00:00:00"/>
    <s v="M"/>
    <x v="0"/>
    <x v="1"/>
    <x v="0"/>
    <x v="3"/>
    <x v="7"/>
    <x v="2"/>
    <x v="1"/>
  </r>
  <r>
    <x v="305"/>
    <x v="1"/>
    <x v="0"/>
    <n v="55.2"/>
    <n v="55.2"/>
    <x v="12"/>
    <d v="2025-01-14T00:00:00"/>
    <s v="F"/>
    <x v="0"/>
    <x v="1"/>
    <x v="0"/>
    <x v="3"/>
    <x v="3"/>
    <x v="2"/>
    <x v="2"/>
  </r>
  <r>
    <x v="306"/>
    <x v="18"/>
    <x v="2"/>
    <n v="26"/>
    <n v="78"/>
    <x v="12"/>
    <d v="2025-01-16T00:00:00"/>
    <s v="F"/>
    <x v="0"/>
    <x v="2"/>
    <x v="0"/>
    <x v="3"/>
    <x v="2"/>
    <x v="2"/>
    <x v="2"/>
  </r>
  <r>
    <x v="307"/>
    <x v="14"/>
    <x v="1"/>
    <n v="14.2"/>
    <n v="28.4"/>
    <x v="12"/>
    <d v="2025-01-18T00:00:00"/>
    <s v="F"/>
    <x v="3"/>
    <x v="0"/>
    <x v="0"/>
    <x v="39"/>
    <x v="0"/>
    <x v="2"/>
    <x v="2"/>
  </r>
  <r>
    <x v="308"/>
    <x v="8"/>
    <x v="11"/>
    <n v="22.7"/>
    <n v="204.29999999999998"/>
    <x v="13"/>
    <d v="2025-01-15T00:00:00"/>
    <s v="M"/>
    <x v="1"/>
    <x v="0"/>
    <x v="0"/>
    <x v="6"/>
    <x v="3"/>
    <x v="2"/>
    <x v="1"/>
  </r>
  <r>
    <x v="309"/>
    <x v="0"/>
    <x v="20"/>
    <n v="19.8"/>
    <n v="297"/>
    <x v="13"/>
    <d v="2025-01-14T00:00:00"/>
    <s v="F"/>
    <x v="0"/>
    <x v="2"/>
    <x v="0"/>
    <x v="6"/>
    <x v="7"/>
    <x v="2"/>
    <x v="2"/>
  </r>
  <r>
    <x v="310"/>
    <x v="0"/>
    <x v="2"/>
    <n v="31.7"/>
    <n v="95.1"/>
    <x v="13"/>
    <d v="2025-01-15T00:00:00"/>
    <s v="M"/>
    <x v="2"/>
    <x v="0"/>
    <x v="0"/>
    <x v="6"/>
    <x v="3"/>
    <x v="2"/>
    <x v="1"/>
  </r>
  <r>
    <x v="311"/>
    <x v="8"/>
    <x v="12"/>
    <n v="30.4"/>
    <n v="121.6"/>
    <x v="13"/>
    <d v="2025-01-18T00:00:00"/>
    <s v="M"/>
    <x v="0"/>
    <x v="0"/>
    <x v="0"/>
    <x v="6"/>
    <x v="5"/>
    <x v="2"/>
    <x v="1"/>
  </r>
  <r>
    <x v="312"/>
    <x v="0"/>
    <x v="12"/>
    <n v="25.6"/>
    <n v="102.4"/>
    <x v="13"/>
    <d v="2025-01-15T00:00:00"/>
    <s v="M"/>
    <x v="3"/>
    <x v="0"/>
    <x v="0"/>
    <x v="8"/>
    <x v="3"/>
    <x v="2"/>
    <x v="1"/>
  </r>
  <r>
    <x v="313"/>
    <x v="5"/>
    <x v="1"/>
    <n v="34.9"/>
    <n v="69.8"/>
    <x v="13"/>
    <d v="2025-01-15T00:00:00"/>
    <s v="F"/>
    <x v="2"/>
    <x v="0"/>
    <x v="0"/>
    <x v="9"/>
    <x v="3"/>
    <x v="2"/>
    <x v="2"/>
  </r>
  <r>
    <x v="314"/>
    <x v="7"/>
    <x v="13"/>
    <n v="42.7"/>
    <n v="256.20000000000005"/>
    <x v="13"/>
    <d v="2025-01-17T00:00:00"/>
    <s v="M"/>
    <x v="2"/>
    <x v="1"/>
    <x v="0"/>
    <x v="11"/>
    <x v="2"/>
    <x v="2"/>
    <x v="1"/>
  </r>
  <r>
    <x v="315"/>
    <x v="8"/>
    <x v="0"/>
    <n v="23.9"/>
    <n v="23.9"/>
    <x v="13"/>
    <d v="2025-01-16T00:00:00"/>
    <s v="F"/>
    <x v="3"/>
    <x v="0"/>
    <x v="0"/>
    <x v="11"/>
    <x v="1"/>
    <x v="2"/>
    <x v="2"/>
  </r>
  <r>
    <x v="316"/>
    <x v="6"/>
    <x v="0"/>
    <n v="124.3"/>
    <n v="124.3"/>
    <x v="13"/>
    <d v="2025-01-15T00:00:00"/>
    <s v=""/>
    <x v="2"/>
    <x v="1"/>
    <x v="0"/>
    <x v="21"/>
    <x v="3"/>
    <x v="2"/>
    <x v="0"/>
  </r>
  <r>
    <x v="317"/>
    <x v="8"/>
    <x v="13"/>
    <n v="35.9"/>
    <n v="215.39999999999998"/>
    <x v="13"/>
    <d v="2025-01-15T00:00:00"/>
    <s v="F"/>
    <x v="0"/>
    <x v="1"/>
    <x v="0"/>
    <x v="1"/>
    <x v="3"/>
    <x v="2"/>
    <x v="2"/>
  </r>
  <r>
    <x v="318"/>
    <x v="2"/>
    <x v="1"/>
    <n v="69.099999999999994"/>
    <n v="138.19999999999999"/>
    <x v="13"/>
    <d v="2025-01-17T00:00:00"/>
    <s v="F"/>
    <x v="0"/>
    <x v="2"/>
    <x v="0"/>
    <x v="22"/>
    <x v="2"/>
    <x v="2"/>
    <x v="2"/>
  </r>
  <r>
    <x v="319"/>
    <x v="7"/>
    <x v="0"/>
    <n v="58.4"/>
    <n v="58.4"/>
    <x v="13"/>
    <d v="2025-01-18T00:00:00"/>
    <s v="M"/>
    <x v="0"/>
    <x v="0"/>
    <x v="0"/>
    <x v="22"/>
    <x v="5"/>
    <x v="2"/>
    <x v="1"/>
  </r>
  <r>
    <x v="320"/>
    <x v="5"/>
    <x v="0"/>
    <n v="65.2"/>
    <n v="65.2"/>
    <x v="13"/>
    <d v="2025-01-16T00:00:00"/>
    <s v="O"/>
    <x v="4"/>
    <x v="4"/>
    <x v="0"/>
    <x v="3"/>
    <x v="1"/>
    <x v="2"/>
    <x v="3"/>
  </r>
  <r>
    <x v="321"/>
    <x v="8"/>
    <x v="14"/>
    <n v="32.700000000000003"/>
    <n v="555.90000000000009"/>
    <x v="13"/>
    <d v="2025-01-21T00:00:00"/>
    <s v=""/>
    <x v="4"/>
    <x v="0"/>
    <x v="0"/>
    <x v="3"/>
    <x v="6"/>
    <x v="2"/>
    <x v="0"/>
  </r>
  <r>
    <x v="322"/>
    <x v="10"/>
    <x v="3"/>
    <n v="24.4"/>
    <n v="170.79999999999998"/>
    <x v="13"/>
    <d v="2025-01-15T00:00:00"/>
    <s v="F"/>
    <x v="0"/>
    <x v="0"/>
    <x v="0"/>
    <x v="3"/>
    <x v="3"/>
    <x v="2"/>
    <x v="2"/>
  </r>
  <r>
    <x v="323"/>
    <x v="14"/>
    <x v="1"/>
    <n v="50.4"/>
    <n v="100.8"/>
    <x v="13"/>
    <d v="2025-01-20T00:00:00"/>
    <s v="M"/>
    <x v="0"/>
    <x v="1"/>
    <x v="0"/>
    <x v="3"/>
    <x v="4"/>
    <x v="2"/>
    <x v="1"/>
  </r>
  <r>
    <x v="324"/>
    <x v="1"/>
    <x v="1"/>
    <n v="100"/>
    <n v="200"/>
    <x v="13"/>
    <d v="2025-01-15T00:00:00"/>
    <s v="F"/>
    <x v="0"/>
    <x v="0"/>
    <x v="0"/>
    <x v="3"/>
    <x v="3"/>
    <x v="2"/>
    <x v="2"/>
  </r>
  <r>
    <x v="325"/>
    <x v="10"/>
    <x v="2"/>
    <n v="43"/>
    <n v="129"/>
    <x v="14"/>
    <d v="2025-01-15T00:00:00"/>
    <s v="F"/>
    <x v="2"/>
    <x v="1"/>
    <x v="0"/>
    <x v="3"/>
    <x v="7"/>
    <x v="2"/>
    <x v="2"/>
  </r>
  <r>
    <x v="326"/>
    <x v="1"/>
    <x v="9"/>
    <n v="64.400000000000006"/>
    <n v="322"/>
    <x v="14"/>
    <d v="2025-01-17T00:00:00"/>
    <s v="M"/>
    <x v="2"/>
    <x v="1"/>
    <x v="0"/>
    <x v="3"/>
    <x v="1"/>
    <x v="2"/>
    <x v="1"/>
  </r>
  <r>
    <x v="327"/>
    <x v="18"/>
    <x v="1"/>
    <n v="57.4"/>
    <n v="114.8"/>
    <x v="14"/>
    <d v="2025-01-16T00:00:00"/>
    <s v="M"/>
    <x v="2"/>
    <x v="1"/>
    <x v="0"/>
    <x v="3"/>
    <x v="3"/>
    <x v="2"/>
    <x v="1"/>
  </r>
  <r>
    <x v="328"/>
    <x v="2"/>
    <x v="2"/>
    <n v="55.1"/>
    <n v="165.3"/>
    <x v="14"/>
    <d v="2025-01-18T00:00:00"/>
    <s v="F"/>
    <x v="1"/>
    <x v="0"/>
    <x v="0"/>
    <x v="3"/>
    <x v="2"/>
    <x v="2"/>
    <x v="2"/>
  </r>
  <r>
    <x v="329"/>
    <x v="7"/>
    <x v="12"/>
    <n v="45.4"/>
    <n v="181.6"/>
    <x v="14"/>
    <d v="2025-01-16T00:00:00"/>
    <s v="F"/>
    <x v="1"/>
    <x v="0"/>
    <x v="0"/>
    <x v="3"/>
    <x v="3"/>
    <x v="2"/>
    <x v="2"/>
  </r>
  <r>
    <x v="330"/>
    <x v="3"/>
    <x v="2"/>
    <n v="93.3"/>
    <n v="279.89999999999998"/>
    <x v="14"/>
    <d v="2025-01-16T00:00:00"/>
    <s v="F"/>
    <x v="0"/>
    <x v="0"/>
    <x v="0"/>
    <x v="40"/>
    <x v="3"/>
    <x v="2"/>
    <x v="2"/>
  </r>
  <r>
    <x v="331"/>
    <x v="2"/>
    <x v="10"/>
    <n v="158.19999999999999"/>
    <n v="3005.7999999999997"/>
    <x v="14"/>
    <d v="2025-01-16T00:00:00"/>
    <s v="F"/>
    <x v="1"/>
    <x v="2"/>
    <x v="0"/>
    <x v="16"/>
    <x v="3"/>
    <x v="2"/>
    <x v="2"/>
  </r>
  <r>
    <x v="332"/>
    <x v="2"/>
    <x v="1"/>
    <n v="74.900000000000006"/>
    <n v="149.80000000000001"/>
    <x v="14"/>
    <d v="2025-01-17T00:00:00"/>
    <s v="M"/>
    <x v="3"/>
    <x v="0"/>
    <x v="0"/>
    <x v="6"/>
    <x v="1"/>
    <x v="2"/>
    <x v="1"/>
  </r>
  <r>
    <x v="333"/>
    <x v="8"/>
    <x v="3"/>
    <n v="26"/>
    <n v="182"/>
    <x v="14"/>
    <d v="2025-01-18T00:00:00"/>
    <s v="F"/>
    <x v="1"/>
    <x v="0"/>
    <x v="0"/>
    <x v="8"/>
    <x v="2"/>
    <x v="2"/>
    <x v="2"/>
  </r>
  <r>
    <x v="334"/>
    <x v="9"/>
    <x v="13"/>
    <n v="37.5"/>
    <n v="225"/>
    <x v="14"/>
    <d v="2025-01-16T00:00:00"/>
    <s v="F"/>
    <x v="0"/>
    <x v="1"/>
    <x v="0"/>
    <x v="8"/>
    <x v="3"/>
    <x v="2"/>
    <x v="2"/>
  </r>
  <r>
    <x v="335"/>
    <x v="6"/>
    <x v="1"/>
    <n v="75.8"/>
    <n v="151.6"/>
    <x v="14"/>
    <d v="2025-01-21T00:00:00"/>
    <s v="M"/>
    <x v="0"/>
    <x v="0"/>
    <x v="0"/>
    <x v="8"/>
    <x v="4"/>
    <x v="2"/>
    <x v="1"/>
  </r>
  <r>
    <x v="336"/>
    <x v="7"/>
    <x v="0"/>
    <n v="48.5"/>
    <n v="48.5"/>
    <x v="14"/>
    <d v="2025-01-27T00:00:00"/>
    <s v=""/>
    <x v="4"/>
    <x v="2"/>
    <x v="0"/>
    <x v="8"/>
    <x v="13"/>
    <x v="2"/>
    <x v="0"/>
  </r>
  <r>
    <x v="337"/>
    <x v="6"/>
    <x v="2"/>
    <n v="98.9"/>
    <n v="296.70000000000005"/>
    <x v="14"/>
    <d v="2025-01-17T00:00:00"/>
    <s v="F"/>
    <x v="4"/>
    <x v="1"/>
    <x v="0"/>
    <x v="8"/>
    <x v="1"/>
    <x v="2"/>
    <x v="2"/>
  </r>
  <r>
    <x v="338"/>
    <x v="1"/>
    <x v="4"/>
    <n v="50.9"/>
    <n v="610.79999999999995"/>
    <x v="14"/>
    <d v="2025-01-15T00:00:00"/>
    <s v="M"/>
    <x v="4"/>
    <x v="0"/>
    <x v="0"/>
    <x v="8"/>
    <x v="7"/>
    <x v="2"/>
    <x v="1"/>
  </r>
  <r>
    <x v="339"/>
    <x v="12"/>
    <x v="13"/>
    <n v="84.7"/>
    <n v="508.20000000000005"/>
    <x v="14"/>
    <d v="2025-01-15T00:00:00"/>
    <s v="F"/>
    <x v="2"/>
    <x v="0"/>
    <x v="0"/>
    <x v="8"/>
    <x v="7"/>
    <x v="2"/>
    <x v="2"/>
  </r>
  <r>
    <x v="340"/>
    <x v="8"/>
    <x v="0"/>
    <n v="20.7"/>
    <n v="20.7"/>
    <x v="14"/>
    <d v="2025-01-17T00:00:00"/>
    <s v="F"/>
    <x v="3"/>
    <x v="2"/>
    <x v="0"/>
    <x v="8"/>
    <x v="1"/>
    <x v="2"/>
    <x v="2"/>
  </r>
  <r>
    <x v="341"/>
    <x v="12"/>
    <x v="11"/>
    <n v="57.8"/>
    <n v="520.19999999999993"/>
    <x v="14"/>
    <d v="2025-01-26T00:00:00"/>
    <s v="M"/>
    <x v="0"/>
    <x v="4"/>
    <x v="0"/>
    <x v="17"/>
    <x v="11"/>
    <x v="2"/>
    <x v="1"/>
  </r>
  <r>
    <x v="342"/>
    <x v="2"/>
    <x v="1"/>
    <n v="106.9"/>
    <n v="213.8"/>
    <x v="14"/>
    <d v="2025-01-17T00:00:00"/>
    <s v="F"/>
    <x v="0"/>
    <x v="2"/>
    <x v="0"/>
    <x v="41"/>
    <x v="1"/>
    <x v="2"/>
    <x v="2"/>
  </r>
  <r>
    <x v="343"/>
    <x v="3"/>
    <x v="9"/>
    <n v="45.2"/>
    <n v="226"/>
    <x v="14"/>
    <d v="2025-01-19T00:00:00"/>
    <s v="F"/>
    <x v="1"/>
    <x v="0"/>
    <x v="0"/>
    <x v="21"/>
    <x v="5"/>
    <x v="2"/>
    <x v="2"/>
  </r>
  <r>
    <x v="344"/>
    <x v="8"/>
    <x v="15"/>
    <n v="34.6"/>
    <n v="449.8"/>
    <x v="14"/>
    <d v="2025-01-15T00:00:00"/>
    <s v="F"/>
    <x v="1"/>
    <x v="1"/>
    <x v="0"/>
    <x v="21"/>
    <x v="7"/>
    <x v="2"/>
    <x v="2"/>
  </r>
  <r>
    <x v="345"/>
    <x v="15"/>
    <x v="0"/>
    <n v="43.8"/>
    <n v="43.8"/>
    <x v="14"/>
    <d v="2025-01-17T00:00:00"/>
    <s v=""/>
    <x v="0"/>
    <x v="2"/>
    <x v="0"/>
    <x v="21"/>
    <x v="1"/>
    <x v="2"/>
    <x v="0"/>
  </r>
  <r>
    <x v="346"/>
    <x v="15"/>
    <x v="0"/>
    <n v="20.399999999999999"/>
    <n v="20.399999999999999"/>
    <x v="14"/>
    <d v="2025-01-17T00:00:00"/>
    <s v="M"/>
    <x v="4"/>
    <x v="1"/>
    <x v="0"/>
    <x v="21"/>
    <x v="1"/>
    <x v="2"/>
    <x v="1"/>
  </r>
  <r>
    <x v="347"/>
    <x v="1"/>
    <x v="0"/>
    <n v="36.700000000000003"/>
    <n v="36.700000000000003"/>
    <x v="14"/>
    <d v="2025-01-16T00:00:00"/>
    <s v="M"/>
    <x v="0"/>
    <x v="1"/>
    <x v="0"/>
    <x v="1"/>
    <x v="3"/>
    <x v="2"/>
    <x v="1"/>
  </r>
  <r>
    <x v="348"/>
    <x v="8"/>
    <x v="2"/>
    <n v="27.2"/>
    <n v="81.599999999999994"/>
    <x v="14"/>
    <d v="2025-01-19T00:00:00"/>
    <s v="M"/>
    <x v="0"/>
    <x v="2"/>
    <x v="0"/>
    <x v="1"/>
    <x v="5"/>
    <x v="2"/>
    <x v="1"/>
  </r>
  <r>
    <x v="349"/>
    <x v="6"/>
    <x v="0"/>
    <n v="58.2"/>
    <n v="58.2"/>
    <x v="14"/>
    <d v="2025-01-16T00:00:00"/>
    <s v="F"/>
    <x v="0"/>
    <x v="2"/>
    <x v="0"/>
    <x v="42"/>
    <x v="3"/>
    <x v="2"/>
    <x v="2"/>
  </r>
  <r>
    <x v="350"/>
    <x v="8"/>
    <x v="2"/>
    <n v="25.6"/>
    <n v="76.800000000000011"/>
    <x v="14"/>
    <d v="2025-01-16T00:00:00"/>
    <s v="M"/>
    <x v="4"/>
    <x v="4"/>
    <x v="0"/>
    <x v="2"/>
    <x v="3"/>
    <x v="2"/>
    <x v="1"/>
  </r>
  <r>
    <x v="351"/>
    <x v="10"/>
    <x v="0"/>
    <n v="21.2"/>
    <n v="21.2"/>
    <x v="14"/>
    <d v="2025-01-15T00:00:00"/>
    <s v="F"/>
    <x v="1"/>
    <x v="2"/>
    <x v="0"/>
    <x v="3"/>
    <x v="7"/>
    <x v="2"/>
    <x v="2"/>
  </r>
  <r>
    <x v="352"/>
    <x v="6"/>
    <x v="1"/>
    <n v="48.2"/>
    <n v="96.4"/>
    <x v="14"/>
    <d v="2025-01-23T00:00:00"/>
    <s v="F"/>
    <x v="0"/>
    <x v="2"/>
    <x v="0"/>
    <x v="3"/>
    <x v="9"/>
    <x v="2"/>
    <x v="2"/>
  </r>
  <r>
    <x v="353"/>
    <x v="1"/>
    <x v="12"/>
    <n v="83.4"/>
    <n v="333.6"/>
    <x v="15"/>
    <d v="2025-01-17T00:00:00"/>
    <s v="M"/>
    <x v="0"/>
    <x v="0"/>
    <x v="0"/>
    <x v="3"/>
    <x v="3"/>
    <x v="2"/>
    <x v="1"/>
  </r>
  <r>
    <x v="354"/>
    <x v="9"/>
    <x v="2"/>
    <n v="45.3"/>
    <n v="135.89999999999998"/>
    <x v="15"/>
    <d v="2025-01-22T00:00:00"/>
    <s v="M"/>
    <x v="2"/>
    <x v="1"/>
    <x v="0"/>
    <x v="3"/>
    <x v="4"/>
    <x v="2"/>
    <x v="1"/>
  </r>
  <r>
    <x v="355"/>
    <x v="17"/>
    <x v="0"/>
    <n v="42"/>
    <n v="42"/>
    <x v="15"/>
    <d v="2025-01-17T00:00:00"/>
    <s v=""/>
    <x v="0"/>
    <x v="0"/>
    <x v="0"/>
    <x v="3"/>
    <x v="3"/>
    <x v="2"/>
    <x v="0"/>
  </r>
  <r>
    <x v="356"/>
    <x v="0"/>
    <x v="11"/>
    <n v="21.8"/>
    <n v="196.20000000000002"/>
    <x v="15"/>
    <d v="2025-01-18T00:00:00"/>
    <s v="F"/>
    <x v="1"/>
    <x v="0"/>
    <x v="0"/>
    <x v="3"/>
    <x v="1"/>
    <x v="2"/>
    <x v="2"/>
  </r>
  <r>
    <x v="357"/>
    <x v="8"/>
    <x v="16"/>
    <n v="21.4"/>
    <n v="385.2"/>
    <x v="15"/>
    <d v="2025-01-19T00:00:00"/>
    <s v="F"/>
    <x v="1"/>
    <x v="2"/>
    <x v="0"/>
    <x v="3"/>
    <x v="2"/>
    <x v="2"/>
    <x v="2"/>
  </r>
  <r>
    <x v="358"/>
    <x v="10"/>
    <x v="2"/>
    <n v="45"/>
    <n v="135"/>
    <x v="15"/>
    <d v="2025-01-16T00:00:00"/>
    <s v="F"/>
    <x v="1"/>
    <x v="2"/>
    <x v="0"/>
    <x v="3"/>
    <x v="7"/>
    <x v="2"/>
    <x v="2"/>
  </r>
  <r>
    <x v="359"/>
    <x v="14"/>
    <x v="0"/>
    <n v="39.6"/>
    <n v="39.6"/>
    <x v="15"/>
    <d v="2025-01-17T00:00:00"/>
    <s v="M"/>
    <x v="0"/>
    <x v="2"/>
    <x v="0"/>
    <x v="3"/>
    <x v="3"/>
    <x v="2"/>
    <x v="1"/>
  </r>
  <r>
    <x v="360"/>
    <x v="12"/>
    <x v="2"/>
    <n v="79.8"/>
    <n v="239.39999999999998"/>
    <x v="15"/>
    <d v="2025-01-22T00:00:00"/>
    <s v="F"/>
    <x v="1"/>
    <x v="4"/>
    <x v="0"/>
    <x v="3"/>
    <x v="4"/>
    <x v="2"/>
    <x v="2"/>
  </r>
  <r>
    <x v="361"/>
    <x v="1"/>
    <x v="12"/>
    <n v="63.6"/>
    <n v="254.4"/>
    <x v="15"/>
    <d v="2025-01-17T00:00:00"/>
    <s v="O"/>
    <x v="0"/>
    <x v="2"/>
    <x v="0"/>
    <x v="24"/>
    <x v="3"/>
    <x v="2"/>
    <x v="3"/>
  </r>
  <r>
    <x v="362"/>
    <x v="7"/>
    <x v="7"/>
    <n v="92.7"/>
    <n v="927"/>
    <x v="15"/>
    <d v="2025-01-20T00:00:00"/>
    <s v="M"/>
    <x v="1"/>
    <x v="2"/>
    <x v="0"/>
    <x v="6"/>
    <x v="5"/>
    <x v="2"/>
    <x v="1"/>
  </r>
  <r>
    <x v="363"/>
    <x v="1"/>
    <x v="12"/>
    <n v="48.4"/>
    <n v="193.6"/>
    <x v="15"/>
    <d v="2025-01-18T00:00:00"/>
    <s v="F"/>
    <x v="1"/>
    <x v="2"/>
    <x v="0"/>
    <x v="6"/>
    <x v="1"/>
    <x v="2"/>
    <x v="2"/>
  </r>
  <r>
    <x v="364"/>
    <x v="9"/>
    <x v="8"/>
    <n v="36"/>
    <n v="288"/>
    <x v="15"/>
    <d v="2025-01-19T00:00:00"/>
    <s v="M"/>
    <x v="2"/>
    <x v="2"/>
    <x v="0"/>
    <x v="8"/>
    <x v="2"/>
    <x v="2"/>
    <x v="1"/>
  </r>
  <r>
    <x v="365"/>
    <x v="8"/>
    <x v="4"/>
    <n v="27"/>
    <n v="324"/>
    <x v="15"/>
    <d v="2025-01-18T00:00:00"/>
    <s v="F"/>
    <x v="2"/>
    <x v="1"/>
    <x v="0"/>
    <x v="8"/>
    <x v="1"/>
    <x v="2"/>
    <x v="2"/>
  </r>
  <r>
    <x v="366"/>
    <x v="2"/>
    <x v="8"/>
    <n v="53.9"/>
    <n v="431.2"/>
    <x v="15"/>
    <d v="2025-01-17T00:00:00"/>
    <s v=""/>
    <x v="0"/>
    <x v="0"/>
    <x v="0"/>
    <x v="8"/>
    <x v="3"/>
    <x v="2"/>
    <x v="0"/>
  </r>
  <r>
    <x v="367"/>
    <x v="3"/>
    <x v="11"/>
    <n v="48.4"/>
    <n v="435.59999999999997"/>
    <x v="15"/>
    <d v="2025-01-17T00:00:00"/>
    <s v="F"/>
    <x v="1"/>
    <x v="0"/>
    <x v="0"/>
    <x v="9"/>
    <x v="3"/>
    <x v="2"/>
    <x v="2"/>
  </r>
  <r>
    <x v="368"/>
    <x v="17"/>
    <x v="1"/>
    <n v="49.9"/>
    <n v="99.8"/>
    <x v="15"/>
    <d v="2025-01-21T00:00:00"/>
    <s v="M"/>
    <x v="4"/>
    <x v="4"/>
    <x v="0"/>
    <x v="10"/>
    <x v="0"/>
    <x v="2"/>
    <x v="1"/>
  </r>
  <r>
    <x v="369"/>
    <x v="1"/>
    <x v="2"/>
    <n v="51.7"/>
    <n v="155.10000000000002"/>
    <x v="15"/>
    <d v="2025-01-17T00:00:00"/>
    <s v="F"/>
    <x v="0"/>
    <x v="2"/>
    <x v="0"/>
    <x v="11"/>
    <x v="3"/>
    <x v="2"/>
    <x v="2"/>
  </r>
  <r>
    <x v="370"/>
    <x v="8"/>
    <x v="2"/>
    <n v="41.8"/>
    <n v="125.39999999999999"/>
    <x v="15"/>
    <d v="2025-01-18T00:00:00"/>
    <s v="F"/>
    <x v="2"/>
    <x v="0"/>
    <x v="0"/>
    <x v="18"/>
    <x v="1"/>
    <x v="2"/>
    <x v="2"/>
  </r>
  <r>
    <x v="371"/>
    <x v="4"/>
    <x v="12"/>
    <n v="36.200000000000003"/>
    <n v="144.80000000000001"/>
    <x v="16"/>
    <d v="2025-01-18T00:00:00"/>
    <s v="M"/>
    <x v="2"/>
    <x v="2"/>
    <x v="0"/>
    <x v="21"/>
    <x v="3"/>
    <x v="2"/>
    <x v="1"/>
  </r>
  <r>
    <x v="372"/>
    <x v="2"/>
    <x v="0"/>
    <n v="150.9"/>
    <n v="150.9"/>
    <x v="16"/>
    <d v="2025-01-27T00:00:00"/>
    <s v="M"/>
    <x v="0"/>
    <x v="0"/>
    <x v="0"/>
    <x v="1"/>
    <x v="14"/>
    <x v="2"/>
    <x v="1"/>
  </r>
  <r>
    <x v="373"/>
    <x v="18"/>
    <x v="12"/>
    <n v="77.599999999999994"/>
    <n v="310.39999999999998"/>
    <x v="16"/>
    <d v="2025-01-18T00:00:00"/>
    <s v=""/>
    <x v="2"/>
    <x v="0"/>
    <x v="0"/>
    <x v="3"/>
    <x v="3"/>
    <x v="2"/>
    <x v="0"/>
  </r>
  <r>
    <x v="374"/>
    <x v="13"/>
    <x v="9"/>
    <n v="65.5"/>
    <n v="327.5"/>
    <x v="16"/>
    <d v="2025-01-17T00:00:00"/>
    <s v="M"/>
    <x v="1"/>
    <x v="0"/>
    <x v="0"/>
    <x v="3"/>
    <x v="7"/>
    <x v="2"/>
    <x v="1"/>
  </r>
  <r>
    <x v="375"/>
    <x v="6"/>
    <x v="2"/>
    <n v="90.1"/>
    <n v="270.29999999999995"/>
    <x v="16"/>
    <d v="2025-01-19T00:00:00"/>
    <s v="F"/>
    <x v="0"/>
    <x v="0"/>
    <x v="0"/>
    <x v="3"/>
    <x v="1"/>
    <x v="2"/>
    <x v="2"/>
  </r>
  <r>
    <x v="376"/>
    <x v="1"/>
    <x v="1"/>
    <n v="108.3"/>
    <n v="216.6"/>
    <x v="16"/>
    <d v="2025-01-20T00:00:00"/>
    <s v="O"/>
    <x v="4"/>
    <x v="0"/>
    <x v="0"/>
    <x v="3"/>
    <x v="2"/>
    <x v="2"/>
    <x v="3"/>
  </r>
  <r>
    <x v="377"/>
    <x v="5"/>
    <x v="2"/>
    <n v="59.9"/>
    <n v="179.7"/>
    <x v="16"/>
    <d v="2025-01-21T00:00:00"/>
    <s v="F"/>
    <x v="0"/>
    <x v="0"/>
    <x v="0"/>
    <x v="3"/>
    <x v="5"/>
    <x v="2"/>
    <x v="2"/>
  </r>
  <r>
    <x v="378"/>
    <x v="2"/>
    <x v="14"/>
    <n v="139"/>
    <n v="2363"/>
    <x v="16"/>
    <d v="2025-01-19T00:00:00"/>
    <s v="F"/>
    <x v="1"/>
    <x v="4"/>
    <x v="0"/>
    <x v="3"/>
    <x v="1"/>
    <x v="2"/>
    <x v="2"/>
  </r>
  <r>
    <x v="379"/>
    <x v="6"/>
    <x v="2"/>
    <n v="87.3"/>
    <n v="261.89999999999998"/>
    <x v="16"/>
    <d v="2025-01-18T00:00:00"/>
    <s v="F"/>
    <x v="0"/>
    <x v="0"/>
    <x v="0"/>
    <x v="3"/>
    <x v="3"/>
    <x v="2"/>
    <x v="2"/>
  </r>
  <r>
    <x v="380"/>
    <x v="11"/>
    <x v="12"/>
    <n v="42.3"/>
    <n v="169.2"/>
    <x v="16"/>
    <d v="2025-01-17T00:00:00"/>
    <s v="M"/>
    <x v="0"/>
    <x v="0"/>
    <x v="0"/>
    <x v="3"/>
    <x v="7"/>
    <x v="2"/>
    <x v="1"/>
  </r>
  <r>
    <x v="381"/>
    <x v="14"/>
    <x v="8"/>
    <n v="103.6"/>
    <n v="828.8"/>
    <x v="16"/>
    <d v="2025-01-18T00:00:00"/>
    <s v="O"/>
    <x v="0"/>
    <x v="1"/>
    <x v="0"/>
    <x v="3"/>
    <x v="3"/>
    <x v="2"/>
    <x v="3"/>
  </r>
  <r>
    <x v="382"/>
    <x v="6"/>
    <x v="1"/>
    <n v="90.9"/>
    <n v="181.8"/>
    <x v="16"/>
    <d v="2025-01-18T00:00:00"/>
    <s v="M"/>
    <x v="1"/>
    <x v="0"/>
    <x v="0"/>
    <x v="6"/>
    <x v="3"/>
    <x v="2"/>
    <x v="1"/>
  </r>
  <r>
    <x v="383"/>
    <x v="9"/>
    <x v="27"/>
    <n v="100.9"/>
    <n v="1614.4"/>
    <x v="16"/>
    <d v="2025-01-18T00:00:00"/>
    <s v="F"/>
    <x v="1"/>
    <x v="0"/>
    <x v="0"/>
    <x v="6"/>
    <x v="3"/>
    <x v="2"/>
    <x v="2"/>
  </r>
  <r>
    <x v="384"/>
    <x v="4"/>
    <x v="9"/>
    <n v="36"/>
    <n v="180"/>
    <x v="16"/>
    <d v="2025-01-19T00:00:00"/>
    <s v="F"/>
    <x v="1"/>
    <x v="0"/>
    <x v="0"/>
    <x v="7"/>
    <x v="1"/>
    <x v="2"/>
    <x v="2"/>
  </r>
  <r>
    <x v="385"/>
    <x v="6"/>
    <x v="13"/>
    <n v="83.3"/>
    <n v="499.79999999999995"/>
    <x v="16"/>
    <d v="2025-01-20T00:00:00"/>
    <s v=""/>
    <x v="2"/>
    <x v="0"/>
    <x v="0"/>
    <x v="7"/>
    <x v="2"/>
    <x v="2"/>
    <x v="0"/>
  </r>
  <r>
    <x v="386"/>
    <x v="2"/>
    <x v="14"/>
    <n v="60.3"/>
    <n v="1025.0999999999999"/>
    <x v="16"/>
    <d v="2025-01-18T00:00:00"/>
    <s v="M"/>
    <x v="2"/>
    <x v="1"/>
    <x v="0"/>
    <x v="7"/>
    <x v="3"/>
    <x v="2"/>
    <x v="1"/>
  </r>
  <r>
    <x v="387"/>
    <x v="2"/>
    <x v="13"/>
    <n v="120.3"/>
    <n v="721.8"/>
    <x v="16"/>
    <d v="2025-01-18T00:00:00"/>
    <s v="M"/>
    <x v="2"/>
    <x v="0"/>
    <x v="0"/>
    <x v="8"/>
    <x v="3"/>
    <x v="2"/>
    <x v="1"/>
  </r>
  <r>
    <x v="388"/>
    <x v="4"/>
    <x v="7"/>
    <n v="34"/>
    <n v="340"/>
    <x v="16"/>
    <d v="2025-01-21T00:00:00"/>
    <s v="F"/>
    <x v="2"/>
    <x v="0"/>
    <x v="0"/>
    <x v="8"/>
    <x v="5"/>
    <x v="2"/>
    <x v="2"/>
  </r>
  <r>
    <x v="389"/>
    <x v="10"/>
    <x v="9"/>
    <n v="42.6"/>
    <n v="213"/>
    <x v="16"/>
    <d v="2025-01-20T00:00:00"/>
    <s v="M"/>
    <x v="1"/>
    <x v="0"/>
    <x v="0"/>
    <x v="8"/>
    <x v="2"/>
    <x v="2"/>
    <x v="1"/>
  </r>
  <r>
    <x v="390"/>
    <x v="5"/>
    <x v="28"/>
    <n v="47.4"/>
    <n v="948"/>
    <x v="16"/>
    <d v="2025-01-17T00:00:00"/>
    <s v="F"/>
    <x v="2"/>
    <x v="1"/>
    <x v="0"/>
    <x v="17"/>
    <x v="7"/>
    <x v="2"/>
    <x v="2"/>
  </r>
  <r>
    <x v="391"/>
    <x v="2"/>
    <x v="0"/>
    <n v="74"/>
    <n v="74"/>
    <x v="17"/>
    <d v="2025-01-19T00:00:00"/>
    <s v="M"/>
    <x v="1"/>
    <x v="0"/>
    <x v="0"/>
    <x v="11"/>
    <x v="3"/>
    <x v="2"/>
    <x v="1"/>
  </r>
  <r>
    <x v="392"/>
    <x v="2"/>
    <x v="9"/>
    <n v="60.4"/>
    <n v="302"/>
    <x v="17"/>
    <d v="2025-01-21T00:00:00"/>
    <s v="F"/>
    <x v="1"/>
    <x v="4"/>
    <x v="0"/>
    <x v="18"/>
    <x v="2"/>
    <x v="2"/>
    <x v="2"/>
  </r>
  <r>
    <x v="393"/>
    <x v="12"/>
    <x v="1"/>
    <n v="69.3"/>
    <n v="138.6"/>
    <x v="17"/>
    <d v="2025-01-21T00:00:00"/>
    <s v="M"/>
    <x v="1"/>
    <x v="1"/>
    <x v="0"/>
    <x v="13"/>
    <x v="2"/>
    <x v="2"/>
    <x v="1"/>
  </r>
  <r>
    <x v="394"/>
    <x v="5"/>
    <x v="9"/>
    <n v="81"/>
    <n v="405"/>
    <x v="17"/>
    <d v="2025-01-24T00:00:00"/>
    <s v="M"/>
    <x v="3"/>
    <x v="0"/>
    <x v="0"/>
    <x v="21"/>
    <x v="4"/>
    <x v="2"/>
    <x v="1"/>
  </r>
  <r>
    <x v="395"/>
    <x v="15"/>
    <x v="2"/>
    <n v="41.5"/>
    <n v="124.5"/>
    <x v="17"/>
    <d v="2025-01-20T00:00:00"/>
    <s v="O"/>
    <x v="1"/>
    <x v="0"/>
    <x v="0"/>
    <x v="21"/>
    <x v="1"/>
    <x v="2"/>
    <x v="3"/>
  </r>
  <r>
    <x v="396"/>
    <x v="18"/>
    <x v="1"/>
    <n v="69.7"/>
    <n v="139.4"/>
    <x v="17"/>
    <d v="2025-01-23T00:00:00"/>
    <s v="M"/>
    <x v="1"/>
    <x v="0"/>
    <x v="0"/>
    <x v="21"/>
    <x v="0"/>
    <x v="2"/>
    <x v="1"/>
  </r>
  <r>
    <x v="397"/>
    <x v="2"/>
    <x v="9"/>
    <n v="83.6"/>
    <n v="418"/>
    <x v="17"/>
    <d v="2025-01-18T00:00:00"/>
    <s v="F"/>
    <x v="4"/>
    <x v="0"/>
    <x v="0"/>
    <x v="1"/>
    <x v="7"/>
    <x v="2"/>
    <x v="2"/>
  </r>
  <r>
    <x v="398"/>
    <x v="8"/>
    <x v="3"/>
    <n v="21.5"/>
    <n v="150.5"/>
    <x v="17"/>
    <d v="2025-01-20T00:00:00"/>
    <s v="M"/>
    <x v="1"/>
    <x v="4"/>
    <x v="0"/>
    <x v="34"/>
    <x v="1"/>
    <x v="2"/>
    <x v="1"/>
  </r>
  <r>
    <x v="399"/>
    <x v="8"/>
    <x v="8"/>
    <n v="28.6"/>
    <n v="228.8"/>
    <x v="17"/>
    <d v="2025-01-19T00:00:00"/>
    <s v="M"/>
    <x v="0"/>
    <x v="0"/>
    <x v="0"/>
    <x v="3"/>
    <x v="3"/>
    <x v="2"/>
    <x v="1"/>
  </r>
  <r>
    <x v="400"/>
    <x v="8"/>
    <x v="13"/>
    <n v="18.8"/>
    <n v="112.80000000000001"/>
    <x v="17"/>
    <d v="2025-01-21T00:00:00"/>
    <s v="M"/>
    <x v="3"/>
    <x v="2"/>
    <x v="0"/>
    <x v="3"/>
    <x v="2"/>
    <x v="2"/>
    <x v="1"/>
  </r>
  <r>
    <x v="401"/>
    <x v="10"/>
    <x v="12"/>
    <n v="35.1"/>
    <n v="140.4"/>
    <x v="17"/>
    <d v="2025-01-18T00:00:00"/>
    <s v="F"/>
    <x v="1"/>
    <x v="1"/>
    <x v="0"/>
    <x v="3"/>
    <x v="7"/>
    <x v="2"/>
    <x v="2"/>
  </r>
  <r>
    <x v="402"/>
    <x v="0"/>
    <x v="1"/>
    <n v="12.7"/>
    <n v="25.4"/>
    <x v="17"/>
    <d v="2025-01-20T00:00:00"/>
    <s v="F"/>
    <x v="1"/>
    <x v="2"/>
    <x v="0"/>
    <x v="3"/>
    <x v="1"/>
    <x v="2"/>
    <x v="2"/>
  </r>
  <r>
    <x v="403"/>
    <x v="8"/>
    <x v="9"/>
    <n v="27.4"/>
    <n v="137"/>
    <x v="17"/>
    <d v="2025-01-20T00:00:00"/>
    <s v="O"/>
    <x v="0"/>
    <x v="0"/>
    <x v="0"/>
    <x v="3"/>
    <x v="1"/>
    <x v="2"/>
    <x v="3"/>
  </r>
  <r>
    <x v="404"/>
    <x v="10"/>
    <x v="1"/>
    <n v="61.3"/>
    <n v="122.6"/>
    <x v="17"/>
    <d v="2025-01-19T00:00:00"/>
    <s v="F"/>
    <x v="1"/>
    <x v="0"/>
    <x v="0"/>
    <x v="6"/>
    <x v="3"/>
    <x v="2"/>
    <x v="2"/>
  </r>
  <r>
    <x v="405"/>
    <x v="8"/>
    <x v="1"/>
    <n v="64.7"/>
    <n v="129.4"/>
    <x v="17"/>
    <d v="2025-01-20T00:00:00"/>
    <s v="F"/>
    <x v="3"/>
    <x v="2"/>
    <x v="0"/>
    <x v="6"/>
    <x v="1"/>
    <x v="2"/>
    <x v="2"/>
  </r>
  <r>
    <x v="406"/>
    <x v="7"/>
    <x v="12"/>
    <n v="91.4"/>
    <n v="365.6"/>
    <x v="17"/>
    <d v="2025-01-20T00:00:00"/>
    <s v="F"/>
    <x v="0"/>
    <x v="0"/>
    <x v="0"/>
    <x v="8"/>
    <x v="1"/>
    <x v="2"/>
    <x v="2"/>
  </r>
  <r>
    <x v="407"/>
    <x v="0"/>
    <x v="1"/>
    <n v="33.1"/>
    <n v="66.2"/>
    <x v="18"/>
    <d v="2025-01-20T00:00:00"/>
    <s v="M"/>
    <x v="0"/>
    <x v="2"/>
    <x v="0"/>
    <x v="8"/>
    <x v="3"/>
    <x v="3"/>
    <x v="1"/>
  </r>
  <r>
    <x v="408"/>
    <x v="3"/>
    <x v="1"/>
    <n v="105.6"/>
    <n v="211.2"/>
    <x v="18"/>
    <d v="2025-01-20T00:00:00"/>
    <s v="M"/>
    <x v="2"/>
    <x v="1"/>
    <x v="0"/>
    <x v="8"/>
    <x v="3"/>
    <x v="3"/>
    <x v="1"/>
  </r>
  <r>
    <x v="409"/>
    <x v="10"/>
    <x v="2"/>
    <n v="46.4"/>
    <n v="139.19999999999999"/>
    <x v="18"/>
    <d v="2025-01-20T00:00:00"/>
    <s v="M"/>
    <x v="2"/>
    <x v="0"/>
    <x v="0"/>
    <x v="9"/>
    <x v="3"/>
    <x v="3"/>
    <x v="1"/>
  </r>
  <r>
    <x v="410"/>
    <x v="9"/>
    <x v="21"/>
    <n v="35.299999999999997"/>
    <n v="494.19999999999993"/>
    <x v="18"/>
    <d v="2025-01-22T00:00:00"/>
    <s v="F"/>
    <x v="4"/>
    <x v="1"/>
    <x v="0"/>
    <x v="11"/>
    <x v="2"/>
    <x v="3"/>
    <x v="2"/>
  </r>
  <r>
    <x v="411"/>
    <x v="0"/>
    <x v="1"/>
    <n v="16.100000000000001"/>
    <n v="32.200000000000003"/>
    <x v="18"/>
    <d v="2025-01-21T00:00:00"/>
    <s v="M"/>
    <x v="3"/>
    <x v="2"/>
    <x v="0"/>
    <x v="32"/>
    <x v="1"/>
    <x v="3"/>
    <x v="1"/>
  </r>
  <r>
    <x v="412"/>
    <x v="4"/>
    <x v="1"/>
    <n v="27.9"/>
    <n v="55.8"/>
    <x v="18"/>
    <d v="2025-01-22T00:00:00"/>
    <s v="M"/>
    <x v="0"/>
    <x v="0"/>
    <x v="0"/>
    <x v="13"/>
    <x v="2"/>
    <x v="3"/>
    <x v="1"/>
  </r>
  <r>
    <x v="413"/>
    <x v="8"/>
    <x v="0"/>
    <n v="47.1"/>
    <n v="47.1"/>
    <x v="18"/>
    <d v="2025-01-27T00:00:00"/>
    <s v="F"/>
    <x v="1"/>
    <x v="0"/>
    <x v="0"/>
    <x v="2"/>
    <x v="9"/>
    <x v="3"/>
    <x v="2"/>
  </r>
  <r>
    <x v="414"/>
    <x v="6"/>
    <x v="1"/>
    <n v="85"/>
    <n v="170"/>
    <x v="18"/>
    <d v="2025-01-22T00:00:00"/>
    <s v=""/>
    <x v="2"/>
    <x v="2"/>
    <x v="0"/>
    <x v="22"/>
    <x v="2"/>
    <x v="3"/>
    <x v="0"/>
  </r>
  <r>
    <x v="415"/>
    <x v="18"/>
    <x v="1"/>
    <n v="89"/>
    <n v="178"/>
    <x v="18"/>
    <d v="2025-01-21T00:00:00"/>
    <s v="F"/>
    <x v="0"/>
    <x v="0"/>
    <x v="0"/>
    <x v="3"/>
    <x v="1"/>
    <x v="3"/>
    <x v="2"/>
  </r>
  <r>
    <x v="416"/>
    <x v="16"/>
    <x v="2"/>
    <n v="36.6"/>
    <n v="109.80000000000001"/>
    <x v="18"/>
    <d v="2025-01-20T00:00:00"/>
    <s v="O"/>
    <x v="3"/>
    <x v="2"/>
    <x v="0"/>
    <x v="3"/>
    <x v="3"/>
    <x v="3"/>
    <x v="3"/>
  </r>
  <r>
    <x v="417"/>
    <x v="6"/>
    <x v="3"/>
    <n v="43.5"/>
    <n v="304.5"/>
    <x v="18"/>
    <d v="2025-01-20T00:00:00"/>
    <s v="M"/>
    <x v="1"/>
    <x v="2"/>
    <x v="0"/>
    <x v="3"/>
    <x v="3"/>
    <x v="3"/>
    <x v="1"/>
  </r>
  <r>
    <x v="418"/>
    <x v="9"/>
    <x v="10"/>
    <n v="30.5"/>
    <n v="579.5"/>
    <x v="18"/>
    <d v="2025-01-19T00:00:00"/>
    <s v="F"/>
    <x v="3"/>
    <x v="0"/>
    <x v="0"/>
    <x v="3"/>
    <x v="7"/>
    <x v="3"/>
    <x v="2"/>
  </r>
  <r>
    <x v="419"/>
    <x v="1"/>
    <x v="1"/>
    <n v="107.7"/>
    <n v="215.4"/>
    <x v="18"/>
    <d v="2025-01-23T00:00:00"/>
    <s v="M"/>
    <x v="3"/>
    <x v="4"/>
    <x v="0"/>
    <x v="3"/>
    <x v="5"/>
    <x v="3"/>
    <x v="1"/>
  </r>
  <r>
    <x v="420"/>
    <x v="17"/>
    <x v="18"/>
    <n v="57.1"/>
    <n v="1484.6000000000001"/>
    <x v="18"/>
    <d v="2025-01-20T00:00:00"/>
    <s v="M"/>
    <x v="1"/>
    <x v="0"/>
    <x v="0"/>
    <x v="3"/>
    <x v="3"/>
    <x v="3"/>
    <x v="1"/>
  </r>
  <r>
    <x v="421"/>
    <x v="2"/>
    <x v="7"/>
    <n v="111.7"/>
    <n v="1117"/>
    <x v="18"/>
    <d v="2025-01-20T00:00:00"/>
    <s v="F"/>
    <x v="4"/>
    <x v="2"/>
    <x v="0"/>
    <x v="3"/>
    <x v="3"/>
    <x v="3"/>
    <x v="2"/>
  </r>
  <r>
    <x v="422"/>
    <x v="18"/>
    <x v="3"/>
    <n v="44.3"/>
    <n v="310.09999999999997"/>
    <x v="18"/>
    <d v="2025-01-22T00:00:00"/>
    <s v="M"/>
    <x v="3"/>
    <x v="2"/>
    <x v="0"/>
    <x v="3"/>
    <x v="2"/>
    <x v="3"/>
    <x v="1"/>
  </r>
  <r>
    <x v="423"/>
    <x v="2"/>
    <x v="8"/>
    <n v="95.8"/>
    <n v="766.4"/>
    <x v="18"/>
    <d v="2025-01-25T00:00:00"/>
    <s v="O"/>
    <x v="0"/>
    <x v="0"/>
    <x v="0"/>
    <x v="3"/>
    <x v="4"/>
    <x v="3"/>
    <x v="3"/>
  </r>
  <r>
    <x v="424"/>
    <x v="10"/>
    <x v="3"/>
    <n v="22.6"/>
    <n v="158.20000000000002"/>
    <x v="18"/>
    <d v="2025-01-22T00:00:00"/>
    <s v="F"/>
    <x v="3"/>
    <x v="1"/>
    <x v="0"/>
    <x v="3"/>
    <x v="2"/>
    <x v="3"/>
    <x v="2"/>
  </r>
  <r>
    <x v="425"/>
    <x v="8"/>
    <x v="8"/>
    <n v="25.6"/>
    <n v="204.8"/>
    <x v="18"/>
    <d v="2025-01-21T00:00:00"/>
    <s v="F"/>
    <x v="4"/>
    <x v="0"/>
    <x v="0"/>
    <x v="3"/>
    <x v="1"/>
    <x v="3"/>
    <x v="2"/>
  </r>
  <r>
    <x v="426"/>
    <x v="6"/>
    <x v="27"/>
    <n v="54.3"/>
    <n v="868.8"/>
    <x v="18"/>
    <d v="2025-01-22T00:00:00"/>
    <s v="F"/>
    <x v="4"/>
    <x v="0"/>
    <x v="0"/>
    <x v="3"/>
    <x v="2"/>
    <x v="3"/>
    <x v="2"/>
  </r>
  <r>
    <x v="427"/>
    <x v="18"/>
    <x v="15"/>
    <n v="51.3"/>
    <n v="666.9"/>
    <x v="18"/>
    <d v="2025-01-21T00:00:00"/>
    <s v="M"/>
    <x v="0"/>
    <x v="2"/>
    <x v="0"/>
    <x v="3"/>
    <x v="1"/>
    <x v="3"/>
    <x v="1"/>
  </r>
  <r>
    <x v="428"/>
    <x v="0"/>
    <x v="8"/>
    <n v="25.6"/>
    <n v="204.8"/>
    <x v="18"/>
    <d v="2025-01-20T00:00:00"/>
    <s v="F"/>
    <x v="1"/>
    <x v="1"/>
    <x v="0"/>
    <x v="3"/>
    <x v="3"/>
    <x v="3"/>
    <x v="2"/>
  </r>
  <r>
    <x v="429"/>
    <x v="0"/>
    <x v="1"/>
    <n v="15.6"/>
    <n v="31.2"/>
    <x v="18"/>
    <d v="2025-01-20T00:00:00"/>
    <s v="F"/>
    <x v="2"/>
    <x v="2"/>
    <x v="0"/>
    <x v="3"/>
    <x v="3"/>
    <x v="3"/>
    <x v="2"/>
  </r>
  <r>
    <x v="430"/>
    <x v="8"/>
    <x v="2"/>
    <n v="30.3"/>
    <n v="90.9"/>
    <x v="18"/>
    <d v="2025-01-23T00:00:00"/>
    <s v="F"/>
    <x v="0"/>
    <x v="1"/>
    <x v="0"/>
    <x v="3"/>
    <x v="5"/>
    <x v="3"/>
    <x v="2"/>
  </r>
  <r>
    <x v="431"/>
    <x v="12"/>
    <x v="1"/>
    <n v="30.3"/>
    <n v="60.6"/>
    <x v="18"/>
    <d v="2025-01-24T00:00:00"/>
    <s v="F"/>
    <x v="0"/>
    <x v="2"/>
    <x v="0"/>
    <x v="37"/>
    <x v="0"/>
    <x v="3"/>
    <x v="2"/>
  </r>
  <r>
    <x v="432"/>
    <x v="10"/>
    <x v="2"/>
    <n v="53"/>
    <n v="159"/>
    <x v="18"/>
    <d v="2025-01-26T00:00:00"/>
    <s v="F"/>
    <x v="2"/>
    <x v="0"/>
    <x v="0"/>
    <x v="24"/>
    <x v="6"/>
    <x v="3"/>
    <x v="2"/>
  </r>
  <r>
    <x v="433"/>
    <x v="5"/>
    <x v="16"/>
    <n v="59.9"/>
    <n v="1078.2"/>
    <x v="18"/>
    <d v="2025-01-22T00:00:00"/>
    <s v="M"/>
    <x v="2"/>
    <x v="4"/>
    <x v="0"/>
    <x v="25"/>
    <x v="2"/>
    <x v="3"/>
    <x v="1"/>
  </r>
  <r>
    <x v="434"/>
    <x v="9"/>
    <x v="1"/>
    <n v="45.7"/>
    <n v="91.4"/>
    <x v="18"/>
    <d v="2025-01-20T00:00:00"/>
    <s v="F"/>
    <x v="1"/>
    <x v="2"/>
    <x v="0"/>
    <x v="6"/>
    <x v="3"/>
    <x v="3"/>
    <x v="2"/>
  </r>
  <r>
    <x v="435"/>
    <x v="8"/>
    <x v="12"/>
    <n v="46.1"/>
    <n v="184.4"/>
    <x v="18"/>
    <d v="2025-01-20T00:00:00"/>
    <s v="M"/>
    <x v="0"/>
    <x v="0"/>
    <x v="0"/>
    <x v="6"/>
    <x v="3"/>
    <x v="3"/>
    <x v="1"/>
  </r>
  <r>
    <x v="436"/>
    <x v="8"/>
    <x v="2"/>
    <n v="17.5"/>
    <n v="52.5"/>
    <x v="18"/>
    <d v="2025-01-20T00:00:00"/>
    <s v="F"/>
    <x v="0"/>
    <x v="2"/>
    <x v="0"/>
    <x v="8"/>
    <x v="3"/>
    <x v="3"/>
    <x v="2"/>
  </r>
  <r>
    <x v="437"/>
    <x v="10"/>
    <x v="2"/>
    <n v="36.5"/>
    <n v="109.5"/>
    <x v="18"/>
    <d v="2025-01-30T00:00:00"/>
    <s v="M"/>
    <x v="2"/>
    <x v="0"/>
    <x v="0"/>
    <x v="8"/>
    <x v="11"/>
    <x v="3"/>
    <x v="1"/>
  </r>
  <r>
    <x v="438"/>
    <x v="8"/>
    <x v="1"/>
    <n v="47.5"/>
    <n v="95"/>
    <x v="19"/>
    <d v="2025-01-22T00:00:00"/>
    <s v="F"/>
    <x v="1"/>
    <x v="0"/>
    <x v="0"/>
    <x v="8"/>
    <x v="1"/>
    <x v="3"/>
    <x v="2"/>
  </r>
  <r>
    <x v="439"/>
    <x v="6"/>
    <x v="9"/>
    <n v="45.6"/>
    <n v="228"/>
    <x v="19"/>
    <d v="2025-01-22T00:00:00"/>
    <s v="F"/>
    <x v="0"/>
    <x v="2"/>
    <x v="0"/>
    <x v="8"/>
    <x v="1"/>
    <x v="3"/>
    <x v="2"/>
  </r>
  <r>
    <x v="440"/>
    <x v="9"/>
    <x v="1"/>
    <n v="50.5"/>
    <n v="101"/>
    <x v="19"/>
    <d v="2025-01-22T00:00:00"/>
    <s v="M"/>
    <x v="0"/>
    <x v="1"/>
    <x v="0"/>
    <x v="17"/>
    <x v="1"/>
    <x v="3"/>
    <x v="1"/>
  </r>
  <r>
    <x v="441"/>
    <x v="2"/>
    <x v="7"/>
    <n v="99.8"/>
    <n v="998"/>
    <x v="19"/>
    <d v="2025-01-23T00:00:00"/>
    <s v="F"/>
    <x v="2"/>
    <x v="1"/>
    <x v="0"/>
    <x v="17"/>
    <x v="2"/>
    <x v="3"/>
    <x v="2"/>
  </r>
  <r>
    <x v="442"/>
    <x v="8"/>
    <x v="20"/>
    <n v="19.2"/>
    <n v="288"/>
    <x v="19"/>
    <d v="2025-01-22T00:00:00"/>
    <s v="O"/>
    <x v="4"/>
    <x v="1"/>
    <x v="0"/>
    <x v="26"/>
    <x v="1"/>
    <x v="3"/>
    <x v="3"/>
  </r>
  <r>
    <x v="443"/>
    <x v="17"/>
    <x v="2"/>
    <n v="22.6"/>
    <n v="67.800000000000011"/>
    <x v="19"/>
    <d v="2025-01-21T00:00:00"/>
    <s v="M"/>
    <x v="1"/>
    <x v="0"/>
    <x v="0"/>
    <x v="11"/>
    <x v="3"/>
    <x v="3"/>
    <x v="1"/>
  </r>
  <r>
    <x v="444"/>
    <x v="1"/>
    <x v="20"/>
    <n v="126.9"/>
    <n v="1903.5"/>
    <x v="19"/>
    <d v="2025-01-22T00:00:00"/>
    <s v="F"/>
    <x v="0"/>
    <x v="2"/>
    <x v="0"/>
    <x v="11"/>
    <x v="1"/>
    <x v="3"/>
    <x v="2"/>
  </r>
  <r>
    <x v="445"/>
    <x v="2"/>
    <x v="1"/>
    <n v="100.3"/>
    <n v="200.6"/>
    <x v="19"/>
    <d v="2025-01-21T00:00:00"/>
    <s v="F"/>
    <x v="0"/>
    <x v="1"/>
    <x v="0"/>
    <x v="11"/>
    <x v="3"/>
    <x v="3"/>
    <x v="2"/>
  </r>
  <r>
    <x v="446"/>
    <x v="4"/>
    <x v="16"/>
    <n v="24.6"/>
    <n v="442.8"/>
    <x v="19"/>
    <d v="2025-01-21T00:00:00"/>
    <s v="F"/>
    <x v="4"/>
    <x v="0"/>
    <x v="0"/>
    <x v="13"/>
    <x v="3"/>
    <x v="3"/>
    <x v="2"/>
  </r>
  <r>
    <x v="447"/>
    <x v="6"/>
    <x v="1"/>
    <n v="47.3"/>
    <n v="94.6"/>
    <x v="19"/>
    <d v="2025-01-21T00:00:00"/>
    <s v="M"/>
    <x v="1"/>
    <x v="2"/>
    <x v="0"/>
    <x v="13"/>
    <x v="3"/>
    <x v="3"/>
    <x v="1"/>
  </r>
  <r>
    <x v="448"/>
    <x v="6"/>
    <x v="3"/>
    <n v="40.799999999999997"/>
    <n v="285.59999999999997"/>
    <x v="19"/>
    <d v="2025-01-23T00:00:00"/>
    <s v="F"/>
    <x v="2"/>
    <x v="2"/>
    <x v="0"/>
    <x v="21"/>
    <x v="2"/>
    <x v="3"/>
    <x v="2"/>
  </r>
  <r>
    <x v="449"/>
    <x v="8"/>
    <x v="8"/>
    <n v="49.2"/>
    <n v="393.6"/>
    <x v="19"/>
    <d v="2025-01-22T00:00:00"/>
    <s v="F"/>
    <x v="0"/>
    <x v="0"/>
    <x v="0"/>
    <x v="1"/>
    <x v="1"/>
    <x v="3"/>
    <x v="2"/>
  </r>
  <r>
    <x v="450"/>
    <x v="8"/>
    <x v="0"/>
    <n v="28.5"/>
    <n v="28.5"/>
    <x v="19"/>
    <d v="2025-01-22T00:00:00"/>
    <s v=""/>
    <x v="2"/>
    <x v="1"/>
    <x v="0"/>
    <x v="3"/>
    <x v="1"/>
    <x v="3"/>
    <x v="0"/>
  </r>
  <r>
    <x v="451"/>
    <x v="18"/>
    <x v="1"/>
    <n v="36.799999999999997"/>
    <n v="73.599999999999994"/>
    <x v="19"/>
    <d v="2025-01-26T00:00:00"/>
    <s v="F"/>
    <x v="0"/>
    <x v="2"/>
    <x v="0"/>
    <x v="3"/>
    <x v="4"/>
    <x v="3"/>
    <x v="2"/>
  </r>
  <r>
    <x v="452"/>
    <x v="7"/>
    <x v="2"/>
    <n v="33.5"/>
    <n v="100.5"/>
    <x v="19"/>
    <d v="2025-01-21T00:00:00"/>
    <s v="F"/>
    <x v="0"/>
    <x v="1"/>
    <x v="0"/>
    <x v="3"/>
    <x v="3"/>
    <x v="3"/>
    <x v="2"/>
  </r>
  <r>
    <x v="453"/>
    <x v="6"/>
    <x v="13"/>
    <n v="62.5"/>
    <n v="375"/>
    <x v="19"/>
    <d v="2025-01-22T00:00:00"/>
    <s v="F"/>
    <x v="0"/>
    <x v="0"/>
    <x v="0"/>
    <x v="3"/>
    <x v="1"/>
    <x v="3"/>
    <x v="2"/>
  </r>
  <r>
    <x v="454"/>
    <x v="8"/>
    <x v="29"/>
    <n v="47.9"/>
    <n v="1916"/>
    <x v="19"/>
    <d v="2025-01-21T00:00:00"/>
    <s v="F"/>
    <x v="3"/>
    <x v="0"/>
    <x v="0"/>
    <x v="3"/>
    <x v="3"/>
    <x v="3"/>
    <x v="2"/>
  </r>
  <r>
    <x v="455"/>
    <x v="6"/>
    <x v="13"/>
    <n v="92.9"/>
    <n v="557.40000000000009"/>
    <x v="19"/>
    <d v="2025-01-31T00:00:00"/>
    <s v="F"/>
    <x v="0"/>
    <x v="4"/>
    <x v="0"/>
    <x v="3"/>
    <x v="11"/>
    <x v="3"/>
    <x v="2"/>
  </r>
  <r>
    <x v="456"/>
    <x v="12"/>
    <x v="2"/>
    <n v="44.1"/>
    <n v="132.30000000000001"/>
    <x v="19"/>
    <d v="2025-01-20T00:00:00"/>
    <s v="F"/>
    <x v="1"/>
    <x v="1"/>
    <x v="0"/>
    <x v="43"/>
    <x v="7"/>
    <x v="3"/>
    <x v="2"/>
  </r>
  <r>
    <x v="457"/>
    <x v="0"/>
    <x v="0"/>
    <n v="11.4"/>
    <n v="11.4"/>
    <x v="20"/>
    <d v="2025-01-23T00:00:00"/>
    <s v="F"/>
    <x v="2"/>
    <x v="0"/>
    <x v="0"/>
    <x v="5"/>
    <x v="1"/>
    <x v="3"/>
    <x v="2"/>
  </r>
  <r>
    <x v="458"/>
    <x v="6"/>
    <x v="0"/>
    <n v="83.7"/>
    <n v="83.7"/>
    <x v="20"/>
    <d v="2025-01-23T00:00:00"/>
    <s v="F"/>
    <x v="0"/>
    <x v="2"/>
    <x v="0"/>
    <x v="6"/>
    <x v="1"/>
    <x v="3"/>
    <x v="2"/>
  </r>
  <r>
    <x v="459"/>
    <x v="10"/>
    <x v="1"/>
    <n v="23.2"/>
    <n v="46.4"/>
    <x v="20"/>
    <d v="2025-01-22T00:00:00"/>
    <s v="M"/>
    <x v="2"/>
    <x v="0"/>
    <x v="0"/>
    <x v="8"/>
    <x v="3"/>
    <x v="3"/>
    <x v="1"/>
  </r>
  <r>
    <x v="460"/>
    <x v="2"/>
    <x v="0"/>
    <n v="162.1"/>
    <n v="162.1"/>
    <x v="20"/>
    <d v="2025-01-24T00:00:00"/>
    <s v="F"/>
    <x v="0"/>
    <x v="2"/>
    <x v="0"/>
    <x v="9"/>
    <x v="2"/>
    <x v="3"/>
    <x v="2"/>
  </r>
  <r>
    <x v="461"/>
    <x v="6"/>
    <x v="12"/>
    <n v="49.2"/>
    <n v="196.8"/>
    <x v="20"/>
    <d v="2025-01-25T00:00:00"/>
    <s v="M"/>
    <x v="1"/>
    <x v="0"/>
    <x v="0"/>
    <x v="9"/>
    <x v="5"/>
    <x v="3"/>
    <x v="1"/>
  </r>
  <r>
    <x v="462"/>
    <x v="1"/>
    <x v="1"/>
    <n v="61"/>
    <n v="122"/>
    <x v="20"/>
    <d v="2025-01-22T00:00:00"/>
    <s v="M"/>
    <x v="3"/>
    <x v="0"/>
    <x v="0"/>
    <x v="10"/>
    <x v="3"/>
    <x v="3"/>
    <x v="1"/>
  </r>
  <r>
    <x v="463"/>
    <x v="2"/>
    <x v="7"/>
    <n v="53.1"/>
    <n v="531"/>
    <x v="20"/>
    <d v="2025-01-23T00:00:00"/>
    <s v="M"/>
    <x v="0"/>
    <x v="0"/>
    <x v="0"/>
    <x v="11"/>
    <x v="1"/>
    <x v="3"/>
    <x v="1"/>
  </r>
  <r>
    <x v="464"/>
    <x v="4"/>
    <x v="1"/>
    <n v="22.4"/>
    <n v="44.8"/>
    <x v="20"/>
    <d v="2025-01-23T00:00:00"/>
    <s v=""/>
    <x v="1"/>
    <x v="2"/>
    <x v="0"/>
    <x v="13"/>
    <x v="1"/>
    <x v="3"/>
    <x v="0"/>
  </r>
  <r>
    <x v="465"/>
    <x v="1"/>
    <x v="9"/>
    <n v="75.3"/>
    <n v="376.5"/>
    <x v="20"/>
    <d v="2025-01-22T00:00:00"/>
    <s v="M"/>
    <x v="0"/>
    <x v="0"/>
    <x v="0"/>
    <x v="21"/>
    <x v="3"/>
    <x v="3"/>
    <x v="1"/>
  </r>
  <r>
    <x v="466"/>
    <x v="6"/>
    <x v="0"/>
    <n v="48.5"/>
    <n v="48.5"/>
    <x v="20"/>
    <d v="2025-01-22T00:00:00"/>
    <s v="F"/>
    <x v="0"/>
    <x v="1"/>
    <x v="0"/>
    <x v="21"/>
    <x v="3"/>
    <x v="3"/>
    <x v="2"/>
  </r>
  <r>
    <x v="467"/>
    <x v="6"/>
    <x v="0"/>
    <n v="42.6"/>
    <n v="42.6"/>
    <x v="20"/>
    <d v="2025-01-25T00:00:00"/>
    <s v="F"/>
    <x v="3"/>
    <x v="0"/>
    <x v="0"/>
    <x v="1"/>
    <x v="5"/>
    <x v="3"/>
    <x v="2"/>
  </r>
  <r>
    <x v="468"/>
    <x v="5"/>
    <x v="9"/>
    <n v="49"/>
    <n v="245"/>
    <x v="20"/>
    <d v="2025-01-22T00:00:00"/>
    <s v="M"/>
    <x v="0"/>
    <x v="0"/>
    <x v="0"/>
    <x v="22"/>
    <x v="3"/>
    <x v="3"/>
    <x v="1"/>
  </r>
  <r>
    <x v="469"/>
    <x v="8"/>
    <x v="2"/>
    <n v="31.3"/>
    <n v="93.9"/>
    <x v="20"/>
    <d v="2025-01-22T00:00:00"/>
    <s v="M"/>
    <x v="2"/>
    <x v="1"/>
    <x v="0"/>
    <x v="3"/>
    <x v="3"/>
    <x v="3"/>
    <x v="1"/>
  </r>
  <r>
    <x v="470"/>
    <x v="2"/>
    <x v="1"/>
    <n v="85.4"/>
    <n v="170.8"/>
    <x v="20"/>
    <d v="2025-01-22T00:00:00"/>
    <s v="F"/>
    <x v="2"/>
    <x v="0"/>
    <x v="0"/>
    <x v="3"/>
    <x v="3"/>
    <x v="3"/>
    <x v="2"/>
  </r>
  <r>
    <x v="471"/>
    <x v="8"/>
    <x v="12"/>
    <n v="40"/>
    <n v="160"/>
    <x v="20"/>
    <d v="2025-01-22T00:00:00"/>
    <s v="O"/>
    <x v="0"/>
    <x v="2"/>
    <x v="0"/>
    <x v="3"/>
    <x v="3"/>
    <x v="3"/>
    <x v="3"/>
  </r>
  <r>
    <x v="472"/>
    <x v="5"/>
    <x v="1"/>
    <n v="38.5"/>
    <n v="77"/>
    <x v="20"/>
    <d v="2025-01-24T00:00:00"/>
    <s v="M"/>
    <x v="1"/>
    <x v="2"/>
    <x v="0"/>
    <x v="3"/>
    <x v="2"/>
    <x v="3"/>
    <x v="1"/>
  </r>
  <r>
    <x v="473"/>
    <x v="2"/>
    <x v="1"/>
    <n v="57.8"/>
    <n v="115.6"/>
    <x v="20"/>
    <d v="2025-01-22T00:00:00"/>
    <s v=""/>
    <x v="0"/>
    <x v="0"/>
    <x v="0"/>
    <x v="3"/>
    <x v="3"/>
    <x v="3"/>
    <x v="0"/>
  </r>
  <r>
    <x v="474"/>
    <x v="8"/>
    <x v="0"/>
    <n v="19.2"/>
    <n v="19.2"/>
    <x v="20"/>
    <d v="2025-01-22T00:00:00"/>
    <s v="F"/>
    <x v="0"/>
    <x v="4"/>
    <x v="0"/>
    <x v="3"/>
    <x v="3"/>
    <x v="3"/>
    <x v="2"/>
  </r>
  <r>
    <x v="475"/>
    <x v="6"/>
    <x v="13"/>
    <n v="114.8"/>
    <n v="688.8"/>
    <x v="20"/>
    <d v="2025-01-24T00:00:00"/>
    <s v="M"/>
    <x v="1"/>
    <x v="1"/>
    <x v="0"/>
    <x v="3"/>
    <x v="2"/>
    <x v="3"/>
    <x v="1"/>
  </r>
  <r>
    <x v="476"/>
    <x v="10"/>
    <x v="3"/>
    <n v="48.4"/>
    <n v="338.8"/>
    <x v="20"/>
    <d v="2025-01-24T00:00:00"/>
    <s v="F"/>
    <x v="3"/>
    <x v="1"/>
    <x v="0"/>
    <x v="3"/>
    <x v="2"/>
    <x v="3"/>
    <x v="2"/>
  </r>
  <r>
    <x v="477"/>
    <x v="9"/>
    <x v="9"/>
    <n v="73.2"/>
    <n v="366"/>
    <x v="20"/>
    <d v="2025-01-22T00:00:00"/>
    <s v="F"/>
    <x v="1"/>
    <x v="4"/>
    <x v="0"/>
    <x v="3"/>
    <x v="3"/>
    <x v="3"/>
    <x v="2"/>
  </r>
  <r>
    <x v="478"/>
    <x v="15"/>
    <x v="1"/>
    <n v="48.6"/>
    <n v="97.2"/>
    <x v="20"/>
    <d v="2025-01-25T00:00:00"/>
    <s v="F"/>
    <x v="3"/>
    <x v="0"/>
    <x v="0"/>
    <x v="3"/>
    <x v="5"/>
    <x v="3"/>
    <x v="2"/>
  </r>
  <r>
    <x v="479"/>
    <x v="0"/>
    <x v="13"/>
    <n v="48.7"/>
    <n v="292.20000000000005"/>
    <x v="20"/>
    <d v="2025-01-22T00:00:00"/>
    <s v="M"/>
    <x v="0"/>
    <x v="0"/>
    <x v="0"/>
    <x v="3"/>
    <x v="3"/>
    <x v="3"/>
    <x v="1"/>
  </r>
  <r>
    <x v="480"/>
    <x v="4"/>
    <x v="1"/>
    <n v="32.200000000000003"/>
    <n v="64.400000000000006"/>
    <x v="20"/>
    <d v="2025-01-24T00:00:00"/>
    <s v="M"/>
    <x v="2"/>
    <x v="2"/>
    <x v="0"/>
    <x v="3"/>
    <x v="2"/>
    <x v="3"/>
    <x v="1"/>
  </r>
  <r>
    <x v="481"/>
    <x v="15"/>
    <x v="8"/>
    <n v="25.8"/>
    <n v="206.4"/>
    <x v="20"/>
    <d v="2025-01-22T00:00:00"/>
    <s v="M"/>
    <x v="0"/>
    <x v="0"/>
    <x v="0"/>
    <x v="37"/>
    <x v="3"/>
    <x v="3"/>
    <x v="1"/>
  </r>
  <r>
    <x v="482"/>
    <x v="6"/>
    <x v="1"/>
    <n v="94.8"/>
    <n v="189.6"/>
    <x v="21"/>
    <d v="2025-01-25T00:00:00"/>
    <s v="F"/>
    <x v="1"/>
    <x v="1"/>
    <x v="0"/>
    <x v="25"/>
    <x v="2"/>
    <x v="3"/>
    <x v="2"/>
  </r>
  <r>
    <x v="483"/>
    <x v="15"/>
    <x v="30"/>
    <n v="56.8"/>
    <n v="1420"/>
    <x v="21"/>
    <d v="2025-01-25T00:00:00"/>
    <s v="M"/>
    <x v="0"/>
    <x v="0"/>
    <x v="0"/>
    <x v="25"/>
    <x v="2"/>
    <x v="3"/>
    <x v="1"/>
  </r>
  <r>
    <x v="484"/>
    <x v="8"/>
    <x v="27"/>
    <n v="18.3"/>
    <n v="292.8"/>
    <x v="21"/>
    <d v="2025-01-29T00:00:00"/>
    <s v="F"/>
    <x v="2"/>
    <x v="2"/>
    <x v="0"/>
    <x v="23"/>
    <x v="6"/>
    <x v="3"/>
    <x v="2"/>
  </r>
  <r>
    <x v="485"/>
    <x v="0"/>
    <x v="2"/>
    <n v="16.8"/>
    <n v="50.400000000000006"/>
    <x v="21"/>
    <d v="2025-01-27T00:00:00"/>
    <s v="F"/>
    <x v="2"/>
    <x v="2"/>
    <x v="0"/>
    <x v="8"/>
    <x v="0"/>
    <x v="3"/>
    <x v="2"/>
  </r>
  <r>
    <x v="486"/>
    <x v="5"/>
    <x v="5"/>
    <n v="35.799999999999997"/>
    <n v="393.79999999999995"/>
    <x v="21"/>
    <d v="2025-01-23T00:00:00"/>
    <s v="M"/>
    <x v="1"/>
    <x v="0"/>
    <x v="0"/>
    <x v="17"/>
    <x v="3"/>
    <x v="3"/>
    <x v="1"/>
  </r>
  <r>
    <x v="487"/>
    <x v="18"/>
    <x v="0"/>
    <n v="64.900000000000006"/>
    <n v="64.900000000000006"/>
    <x v="21"/>
    <d v="2025-01-23T00:00:00"/>
    <s v="M"/>
    <x v="0"/>
    <x v="1"/>
    <x v="0"/>
    <x v="17"/>
    <x v="3"/>
    <x v="3"/>
    <x v="1"/>
  </r>
  <r>
    <x v="488"/>
    <x v="18"/>
    <x v="0"/>
    <n v="28.5"/>
    <n v="28.5"/>
    <x v="21"/>
    <d v="2025-01-24T00:00:00"/>
    <s v=""/>
    <x v="1"/>
    <x v="0"/>
    <x v="0"/>
    <x v="9"/>
    <x v="1"/>
    <x v="3"/>
    <x v="0"/>
  </r>
  <r>
    <x v="489"/>
    <x v="18"/>
    <x v="1"/>
    <n v="103.5"/>
    <n v="207"/>
    <x v="21"/>
    <d v="2025-01-24T00:00:00"/>
    <s v="F"/>
    <x v="1"/>
    <x v="0"/>
    <x v="0"/>
    <x v="10"/>
    <x v="1"/>
    <x v="3"/>
    <x v="2"/>
  </r>
  <r>
    <x v="490"/>
    <x v="4"/>
    <x v="1"/>
    <n v="41.2"/>
    <n v="82.4"/>
    <x v="21"/>
    <d v="2025-01-23T00:00:00"/>
    <s v="F"/>
    <x v="1"/>
    <x v="0"/>
    <x v="0"/>
    <x v="10"/>
    <x v="3"/>
    <x v="3"/>
    <x v="2"/>
  </r>
  <r>
    <x v="491"/>
    <x v="9"/>
    <x v="0"/>
    <n v="37.799999999999997"/>
    <n v="37.799999999999997"/>
    <x v="21"/>
    <d v="2025-01-24T00:00:00"/>
    <s v="F"/>
    <x v="3"/>
    <x v="3"/>
    <x v="0"/>
    <x v="11"/>
    <x v="1"/>
    <x v="3"/>
    <x v="2"/>
  </r>
  <r>
    <x v="492"/>
    <x v="8"/>
    <x v="1"/>
    <n v="42.6"/>
    <n v="85.2"/>
    <x v="21"/>
    <d v="2025-01-24T00:00:00"/>
    <s v="F"/>
    <x v="4"/>
    <x v="0"/>
    <x v="0"/>
    <x v="11"/>
    <x v="1"/>
    <x v="3"/>
    <x v="2"/>
  </r>
  <r>
    <x v="493"/>
    <x v="8"/>
    <x v="7"/>
    <n v="15.2"/>
    <n v="152"/>
    <x v="21"/>
    <d v="2025-01-24T00:00:00"/>
    <s v="F"/>
    <x v="2"/>
    <x v="0"/>
    <x v="0"/>
    <x v="11"/>
    <x v="1"/>
    <x v="3"/>
    <x v="2"/>
  </r>
  <r>
    <x v="494"/>
    <x v="7"/>
    <x v="12"/>
    <n v="83.4"/>
    <n v="333.6"/>
    <x v="21"/>
    <d v="2025-01-23T00:00:00"/>
    <s v="F"/>
    <x v="2"/>
    <x v="1"/>
    <x v="0"/>
    <x v="18"/>
    <x v="3"/>
    <x v="3"/>
    <x v="2"/>
  </r>
  <r>
    <x v="495"/>
    <x v="19"/>
    <x v="1"/>
    <n v="27.7"/>
    <n v="55.4"/>
    <x v="21"/>
    <d v="2025-01-23T00:00:00"/>
    <s v="F"/>
    <x v="0"/>
    <x v="1"/>
    <x v="0"/>
    <x v="13"/>
    <x v="3"/>
    <x v="3"/>
    <x v="2"/>
  </r>
  <r>
    <x v="496"/>
    <x v="10"/>
    <x v="4"/>
    <n v="20.8"/>
    <n v="249.60000000000002"/>
    <x v="21"/>
    <d v="2025-01-23T00:00:00"/>
    <s v="M"/>
    <x v="3"/>
    <x v="0"/>
    <x v="0"/>
    <x v="13"/>
    <x v="3"/>
    <x v="3"/>
    <x v="1"/>
  </r>
  <r>
    <x v="497"/>
    <x v="11"/>
    <x v="1"/>
    <n v="72.7"/>
    <n v="145.4"/>
    <x v="21"/>
    <d v="2025-01-26T00:00:00"/>
    <s v="F"/>
    <x v="4"/>
    <x v="2"/>
    <x v="0"/>
    <x v="44"/>
    <x v="5"/>
    <x v="3"/>
    <x v="2"/>
  </r>
  <r>
    <x v="498"/>
    <x v="10"/>
    <x v="12"/>
    <n v="38.6"/>
    <n v="154.4"/>
    <x v="21"/>
    <d v="2025-01-23T00:00:00"/>
    <s v="M"/>
    <x v="0"/>
    <x v="2"/>
    <x v="0"/>
    <x v="22"/>
    <x v="3"/>
    <x v="3"/>
    <x v="1"/>
  </r>
  <r>
    <x v="499"/>
    <x v="8"/>
    <x v="3"/>
    <n v="33.1"/>
    <n v="231.70000000000002"/>
    <x v="21"/>
    <d v="2025-01-23T00:00:00"/>
    <s v="O"/>
    <x v="4"/>
    <x v="3"/>
    <x v="0"/>
    <x v="3"/>
    <x v="3"/>
    <x v="3"/>
    <x v="3"/>
  </r>
  <r>
    <x v="500"/>
    <x v="10"/>
    <x v="1"/>
    <n v="30.5"/>
    <n v="61"/>
    <x v="21"/>
    <d v="2025-01-22T00:00:00"/>
    <s v=""/>
    <x v="1"/>
    <x v="1"/>
    <x v="0"/>
    <x v="3"/>
    <x v="7"/>
    <x v="3"/>
    <x v="0"/>
  </r>
  <r>
    <x v="501"/>
    <x v="9"/>
    <x v="1"/>
    <n v="69.599999999999994"/>
    <n v="139.19999999999999"/>
    <x v="21"/>
    <d v="2025-01-23T00:00:00"/>
    <s v="M"/>
    <x v="0"/>
    <x v="1"/>
    <x v="0"/>
    <x v="3"/>
    <x v="3"/>
    <x v="3"/>
    <x v="1"/>
  </r>
  <r>
    <x v="502"/>
    <x v="11"/>
    <x v="0"/>
    <n v="42.4"/>
    <n v="42.4"/>
    <x v="21"/>
    <d v="2025-01-26T00:00:00"/>
    <s v="F"/>
    <x v="1"/>
    <x v="0"/>
    <x v="0"/>
    <x v="3"/>
    <x v="5"/>
    <x v="3"/>
    <x v="2"/>
  </r>
  <r>
    <x v="503"/>
    <x v="17"/>
    <x v="0"/>
    <n v="32.200000000000003"/>
    <n v="32.200000000000003"/>
    <x v="21"/>
    <d v="2025-01-25T00:00:00"/>
    <s v="F"/>
    <x v="2"/>
    <x v="1"/>
    <x v="0"/>
    <x v="3"/>
    <x v="2"/>
    <x v="3"/>
    <x v="2"/>
  </r>
  <r>
    <x v="504"/>
    <x v="6"/>
    <x v="1"/>
    <n v="41.5"/>
    <n v="83"/>
    <x v="21"/>
    <d v="2025-01-25T00:00:00"/>
    <s v="F"/>
    <x v="0"/>
    <x v="2"/>
    <x v="0"/>
    <x v="3"/>
    <x v="2"/>
    <x v="3"/>
    <x v="2"/>
  </r>
  <r>
    <x v="505"/>
    <x v="16"/>
    <x v="11"/>
    <n v="58.9"/>
    <n v="530.1"/>
    <x v="21"/>
    <d v="2025-01-26T00:00:00"/>
    <s v="F"/>
    <x v="3"/>
    <x v="0"/>
    <x v="0"/>
    <x v="3"/>
    <x v="5"/>
    <x v="3"/>
    <x v="2"/>
  </r>
  <r>
    <x v="506"/>
    <x v="2"/>
    <x v="0"/>
    <n v="57.1"/>
    <n v="57.1"/>
    <x v="21"/>
    <d v="2025-01-25T00:00:00"/>
    <s v="F"/>
    <x v="1"/>
    <x v="0"/>
    <x v="0"/>
    <x v="3"/>
    <x v="2"/>
    <x v="3"/>
    <x v="2"/>
  </r>
  <r>
    <x v="507"/>
    <x v="6"/>
    <x v="0"/>
    <n v="57.2"/>
    <n v="57.2"/>
    <x v="21"/>
    <d v="2025-01-24T00:00:00"/>
    <s v="M"/>
    <x v="1"/>
    <x v="0"/>
    <x v="0"/>
    <x v="3"/>
    <x v="1"/>
    <x v="3"/>
    <x v="1"/>
  </r>
  <r>
    <x v="508"/>
    <x v="8"/>
    <x v="1"/>
    <n v="35.1"/>
    <n v="70.2"/>
    <x v="21"/>
    <d v="2025-01-23T00:00:00"/>
    <s v="M"/>
    <x v="1"/>
    <x v="0"/>
    <x v="0"/>
    <x v="6"/>
    <x v="3"/>
    <x v="3"/>
    <x v="1"/>
  </r>
  <r>
    <x v="509"/>
    <x v="1"/>
    <x v="0"/>
    <n v="52.1"/>
    <n v="52.1"/>
    <x v="21"/>
    <d v="2025-01-24T00:00:00"/>
    <s v="F"/>
    <x v="4"/>
    <x v="1"/>
    <x v="0"/>
    <x v="8"/>
    <x v="1"/>
    <x v="3"/>
    <x v="2"/>
  </r>
  <r>
    <x v="510"/>
    <x v="13"/>
    <x v="2"/>
    <n v="59.8"/>
    <n v="179.39999999999998"/>
    <x v="21"/>
    <d v="2025-01-24T00:00:00"/>
    <s v="F"/>
    <x v="4"/>
    <x v="1"/>
    <x v="0"/>
    <x v="8"/>
    <x v="1"/>
    <x v="3"/>
    <x v="2"/>
  </r>
  <r>
    <x v="511"/>
    <x v="3"/>
    <x v="12"/>
    <n v="83.3"/>
    <n v="333.2"/>
    <x v="21"/>
    <d v="2025-01-22T00:00:00"/>
    <s v=""/>
    <x v="2"/>
    <x v="0"/>
    <x v="0"/>
    <x v="8"/>
    <x v="7"/>
    <x v="3"/>
    <x v="0"/>
  </r>
  <r>
    <x v="512"/>
    <x v="15"/>
    <x v="4"/>
    <n v="41.3"/>
    <n v="495.59999999999997"/>
    <x v="21"/>
    <d v="2025-01-23T00:00:00"/>
    <s v="F"/>
    <x v="1"/>
    <x v="0"/>
    <x v="0"/>
    <x v="8"/>
    <x v="3"/>
    <x v="3"/>
    <x v="2"/>
  </r>
  <r>
    <x v="513"/>
    <x v="8"/>
    <x v="9"/>
    <n v="16"/>
    <n v="80"/>
    <x v="21"/>
    <d v="2025-01-24T00:00:00"/>
    <s v="M"/>
    <x v="4"/>
    <x v="1"/>
    <x v="0"/>
    <x v="9"/>
    <x v="1"/>
    <x v="3"/>
    <x v="1"/>
  </r>
  <r>
    <x v="514"/>
    <x v="10"/>
    <x v="1"/>
    <n v="20.8"/>
    <n v="41.6"/>
    <x v="22"/>
    <d v="2025-01-25T00:00:00"/>
    <s v="M"/>
    <x v="0"/>
    <x v="2"/>
    <x v="0"/>
    <x v="11"/>
    <x v="1"/>
    <x v="3"/>
    <x v="1"/>
  </r>
  <r>
    <x v="515"/>
    <x v="8"/>
    <x v="31"/>
    <n v="27.1"/>
    <n v="758.80000000000007"/>
    <x v="22"/>
    <d v="2025-01-24T00:00:00"/>
    <s v=""/>
    <x v="3"/>
    <x v="2"/>
    <x v="0"/>
    <x v="11"/>
    <x v="3"/>
    <x v="3"/>
    <x v="0"/>
  </r>
  <r>
    <x v="516"/>
    <x v="10"/>
    <x v="1"/>
    <n v="38.9"/>
    <n v="77.8"/>
    <x v="22"/>
    <d v="2025-01-25T00:00:00"/>
    <s v="F"/>
    <x v="0"/>
    <x v="0"/>
    <x v="0"/>
    <x v="18"/>
    <x v="1"/>
    <x v="3"/>
    <x v="2"/>
  </r>
  <r>
    <x v="517"/>
    <x v="0"/>
    <x v="1"/>
    <n v="10.8"/>
    <n v="21.6"/>
    <x v="22"/>
    <d v="2025-01-26T00:00:00"/>
    <s v="F"/>
    <x v="1"/>
    <x v="2"/>
    <x v="0"/>
    <x v="45"/>
    <x v="2"/>
    <x v="3"/>
    <x v="2"/>
  </r>
  <r>
    <x v="518"/>
    <x v="4"/>
    <x v="15"/>
    <n v="48.4"/>
    <n v="629.19999999999993"/>
    <x v="22"/>
    <d v="2025-01-27T00:00:00"/>
    <s v="F"/>
    <x v="0"/>
    <x v="0"/>
    <x v="0"/>
    <x v="21"/>
    <x v="5"/>
    <x v="3"/>
    <x v="2"/>
  </r>
  <r>
    <x v="519"/>
    <x v="4"/>
    <x v="2"/>
    <n v="29.2"/>
    <n v="87.6"/>
    <x v="22"/>
    <d v="2025-01-26T00:00:00"/>
    <s v="F"/>
    <x v="1"/>
    <x v="1"/>
    <x v="0"/>
    <x v="2"/>
    <x v="2"/>
    <x v="3"/>
    <x v="2"/>
  </r>
  <r>
    <x v="520"/>
    <x v="4"/>
    <x v="1"/>
    <n v="25.1"/>
    <n v="50.2"/>
    <x v="22"/>
    <d v="2025-01-24T00:00:00"/>
    <s v="M"/>
    <x v="0"/>
    <x v="1"/>
    <x v="0"/>
    <x v="2"/>
    <x v="3"/>
    <x v="3"/>
    <x v="1"/>
  </r>
  <r>
    <x v="521"/>
    <x v="7"/>
    <x v="2"/>
    <n v="65.599999999999994"/>
    <n v="196.79999999999998"/>
    <x v="22"/>
    <d v="2025-01-23T00:00:00"/>
    <s v="F"/>
    <x v="2"/>
    <x v="1"/>
    <x v="0"/>
    <x v="3"/>
    <x v="7"/>
    <x v="3"/>
    <x v="2"/>
  </r>
  <r>
    <x v="522"/>
    <x v="2"/>
    <x v="1"/>
    <n v="57.3"/>
    <n v="114.6"/>
    <x v="22"/>
    <d v="2025-01-23T00:00:00"/>
    <s v=""/>
    <x v="0"/>
    <x v="0"/>
    <x v="0"/>
    <x v="3"/>
    <x v="7"/>
    <x v="3"/>
    <x v="0"/>
  </r>
  <r>
    <x v="523"/>
    <x v="9"/>
    <x v="12"/>
    <n v="22.4"/>
    <n v="89.6"/>
    <x v="22"/>
    <d v="2025-01-24T00:00:00"/>
    <s v="F"/>
    <x v="2"/>
    <x v="2"/>
    <x v="0"/>
    <x v="3"/>
    <x v="3"/>
    <x v="3"/>
    <x v="2"/>
  </r>
  <r>
    <x v="524"/>
    <x v="12"/>
    <x v="11"/>
    <n v="45.7"/>
    <n v="411.3"/>
    <x v="22"/>
    <d v="2025-01-24T00:00:00"/>
    <s v="F"/>
    <x v="0"/>
    <x v="0"/>
    <x v="0"/>
    <x v="3"/>
    <x v="3"/>
    <x v="3"/>
    <x v="2"/>
  </r>
  <r>
    <x v="525"/>
    <x v="8"/>
    <x v="1"/>
    <n v="29.3"/>
    <n v="58.6"/>
    <x v="22"/>
    <d v="2025-01-24T00:00:00"/>
    <s v="M"/>
    <x v="1"/>
    <x v="0"/>
    <x v="0"/>
    <x v="3"/>
    <x v="3"/>
    <x v="3"/>
    <x v="1"/>
  </r>
  <r>
    <x v="526"/>
    <x v="18"/>
    <x v="32"/>
    <n v="74"/>
    <n v="1628"/>
    <x v="22"/>
    <d v="2025-01-24T00:00:00"/>
    <s v="M"/>
    <x v="0"/>
    <x v="2"/>
    <x v="0"/>
    <x v="3"/>
    <x v="3"/>
    <x v="3"/>
    <x v="1"/>
  </r>
  <r>
    <x v="527"/>
    <x v="14"/>
    <x v="1"/>
    <n v="39.200000000000003"/>
    <n v="78.400000000000006"/>
    <x v="22"/>
    <d v="2025-01-25T00:00:00"/>
    <s v="F"/>
    <x v="1"/>
    <x v="0"/>
    <x v="0"/>
    <x v="3"/>
    <x v="1"/>
    <x v="3"/>
    <x v="2"/>
  </r>
  <r>
    <x v="528"/>
    <x v="4"/>
    <x v="14"/>
    <n v="62.7"/>
    <n v="1065.9000000000001"/>
    <x v="22"/>
    <d v="2025-01-24T00:00:00"/>
    <s v="F"/>
    <x v="2"/>
    <x v="1"/>
    <x v="0"/>
    <x v="3"/>
    <x v="3"/>
    <x v="3"/>
    <x v="2"/>
  </r>
  <r>
    <x v="529"/>
    <x v="10"/>
    <x v="1"/>
    <n v="60.1"/>
    <n v="120.2"/>
    <x v="22"/>
    <d v="2025-01-24T00:00:00"/>
    <s v="F"/>
    <x v="3"/>
    <x v="0"/>
    <x v="0"/>
    <x v="3"/>
    <x v="3"/>
    <x v="3"/>
    <x v="2"/>
  </r>
  <r>
    <x v="530"/>
    <x v="0"/>
    <x v="12"/>
    <n v="11.2"/>
    <n v="44.8"/>
    <x v="22"/>
    <d v="2025-01-24T00:00:00"/>
    <s v="F"/>
    <x v="3"/>
    <x v="1"/>
    <x v="0"/>
    <x v="3"/>
    <x v="3"/>
    <x v="3"/>
    <x v="2"/>
  </r>
  <r>
    <x v="531"/>
    <x v="8"/>
    <x v="1"/>
    <n v="22.9"/>
    <n v="45.8"/>
    <x v="22"/>
    <d v="2025-01-24T00:00:00"/>
    <s v="F"/>
    <x v="0"/>
    <x v="0"/>
    <x v="0"/>
    <x v="6"/>
    <x v="3"/>
    <x v="3"/>
    <x v="2"/>
  </r>
  <r>
    <x v="532"/>
    <x v="1"/>
    <x v="1"/>
    <n v="37.6"/>
    <n v="75.2"/>
    <x v="22"/>
    <d v="2025-01-26T00:00:00"/>
    <s v="F"/>
    <x v="0"/>
    <x v="0"/>
    <x v="0"/>
    <x v="6"/>
    <x v="2"/>
    <x v="3"/>
    <x v="2"/>
  </r>
  <r>
    <x v="533"/>
    <x v="6"/>
    <x v="0"/>
    <n v="42.4"/>
    <n v="42.4"/>
    <x v="22"/>
    <d v="2025-01-24T00:00:00"/>
    <s v="F"/>
    <x v="3"/>
    <x v="2"/>
    <x v="0"/>
    <x v="6"/>
    <x v="3"/>
    <x v="3"/>
    <x v="2"/>
  </r>
  <r>
    <x v="534"/>
    <x v="8"/>
    <x v="1"/>
    <n v="19.600000000000001"/>
    <n v="39.200000000000003"/>
    <x v="22"/>
    <d v="2025-01-27T00:00:00"/>
    <s v="F"/>
    <x v="2"/>
    <x v="0"/>
    <x v="0"/>
    <x v="7"/>
    <x v="5"/>
    <x v="3"/>
    <x v="2"/>
  </r>
  <r>
    <x v="535"/>
    <x v="9"/>
    <x v="0"/>
    <n v="90.5"/>
    <n v="90.5"/>
    <x v="22"/>
    <d v="2025-01-26T00:00:00"/>
    <s v="F"/>
    <x v="2"/>
    <x v="0"/>
    <x v="0"/>
    <x v="7"/>
    <x v="2"/>
    <x v="3"/>
    <x v="2"/>
  </r>
  <r>
    <x v="536"/>
    <x v="16"/>
    <x v="5"/>
    <n v="33.9"/>
    <n v="372.9"/>
    <x v="22"/>
    <d v="2025-01-24T00:00:00"/>
    <s v="M"/>
    <x v="2"/>
    <x v="1"/>
    <x v="0"/>
    <x v="7"/>
    <x v="3"/>
    <x v="3"/>
    <x v="1"/>
  </r>
  <r>
    <x v="537"/>
    <x v="0"/>
    <x v="1"/>
    <n v="32.799999999999997"/>
    <n v="65.599999999999994"/>
    <x v="22"/>
    <d v="2025-01-25T00:00:00"/>
    <s v="F"/>
    <x v="4"/>
    <x v="4"/>
    <x v="0"/>
    <x v="8"/>
    <x v="1"/>
    <x v="3"/>
    <x v="2"/>
  </r>
  <r>
    <x v="538"/>
    <x v="15"/>
    <x v="0"/>
    <n v="49.9"/>
    <n v="49.9"/>
    <x v="22"/>
    <d v="2025-01-24T00:00:00"/>
    <s v="M"/>
    <x v="3"/>
    <x v="1"/>
    <x v="0"/>
    <x v="8"/>
    <x v="3"/>
    <x v="3"/>
    <x v="1"/>
  </r>
  <r>
    <x v="539"/>
    <x v="7"/>
    <x v="9"/>
    <n v="79.2"/>
    <n v="396"/>
    <x v="22"/>
    <d v="2025-01-24T00:00:00"/>
    <s v="F"/>
    <x v="4"/>
    <x v="0"/>
    <x v="0"/>
    <x v="8"/>
    <x v="3"/>
    <x v="3"/>
    <x v="2"/>
  </r>
  <r>
    <x v="540"/>
    <x v="8"/>
    <x v="27"/>
    <n v="19.5"/>
    <n v="312"/>
    <x v="22"/>
    <d v="2025-01-25T00:00:00"/>
    <s v="M"/>
    <x v="3"/>
    <x v="2"/>
    <x v="0"/>
    <x v="8"/>
    <x v="1"/>
    <x v="3"/>
    <x v="1"/>
  </r>
  <r>
    <x v="541"/>
    <x v="8"/>
    <x v="12"/>
    <n v="18"/>
    <n v="72"/>
    <x v="22"/>
    <d v="2025-01-24T00:00:00"/>
    <s v="M"/>
    <x v="1"/>
    <x v="0"/>
    <x v="0"/>
    <x v="10"/>
    <x v="3"/>
    <x v="3"/>
    <x v="1"/>
  </r>
  <r>
    <x v="542"/>
    <x v="9"/>
    <x v="2"/>
    <n v="45.9"/>
    <n v="137.69999999999999"/>
    <x v="22"/>
    <d v="2025-01-25T00:00:00"/>
    <s v="F"/>
    <x v="1"/>
    <x v="1"/>
    <x v="0"/>
    <x v="10"/>
    <x v="1"/>
    <x v="3"/>
    <x v="2"/>
  </r>
  <r>
    <x v="543"/>
    <x v="11"/>
    <x v="0"/>
    <n v="41.2"/>
    <n v="41.2"/>
    <x v="22"/>
    <d v="2025-01-25T00:00:00"/>
    <s v="F"/>
    <x v="1"/>
    <x v="2"/>
    <x v="0"/>
    <x v="11"/>
    <x v="1"/>
    <x v="3"/>
    <x v="2"/>
  </r>
  <r>
    <x v="544"/>
    <x v="2"/>
    <x v="7"/>
    <n v="167.2"/>
    <n v="1672"/>
    <x v="22"/>
    <d v="2025-01-25T00:00:00"/>
    <s v="F"/>
    <x v="2"/>
    <x v="2"/>
    <x v="0"/>
    <x v="32"/>
    <x v="1"/>
    <x v="3"/>
    <x v="2"/>
  </r>
  <r>
    <x v="545"/>
    <x v="6"/>
    <x v="17"/>
    <n v="74.5"/>
    <n v="2235"/>
    <x v="23"/>
    <d v="2025-01-27T00:00:00"/>
    <s v="F"/>
    <x v="1"/>
    <x v="2"/>
    <x v="0"/>
    <x v="38"/>
    <x v="2"/>
    <x v="3"/>
    <x v="2"/>
  </r>
  <r>
    <x v="546"/>
    <x v="7"/>
    <x v="12"/>
    <n v="39.299999999999997"/>
    <n v="157.19999999999999"/>
    <x v="23"/>
    <d v="2025-01-25T00:00:00"/>
    <s v=""/>
    <x v="2"/>
    <x v="0"/>
    <x v="0"/>
    <x v="19"/>
    <x v="3"/>
    <x v="3"/>
    <x v="0"/>
  </r>
  <r>
    <x v="547"/>
    <x v="9"/>
    <x v="0"/>
    <n v="68.5"/>
    <n v="68.5"/>
    <x v="23"/>
    <d v="2025-01-27T00:00:00"/>
    <s v="M"/>
    <x v="1"/>
    <x v="2"/>
    <x v="0"/>
    <x v="12"/>
    <x v="2"/>
    <x v="3"/>
    <x v="1"/>
  </r>
  <r>
    <x v="548"/>
    <x v="0"/>
    <x v="2"/>
    <n v="22.5"/>
    <n v="67.5"/>
    <x v="23"/>
    <d v="2025-01-24T00:00:00"/>
    <s v="F"/>
    <x v="4"/>
    <x v="0"/>
    <x v="0"/>
    <x v="13"/>
    <x v="7"/>
    <x v="3"/>
    <x v="2"/>
  </r>
  <r>
    <x v="549"/>
    <x v="1"/>
    <x v="0"/>
    <n v="48"/>
    <n v="48"/>
    <x v="23"/>
    <d v="2025-01-25T00:00:00"/>
    <s v="O"/>
    <x v="4"/>
    <x v="1"/>
    <x v="0"/>
    <x v="46"/>
    <x v="3"/>
    <x v="3"/>
    <x v="3"/>
  </r>
  <r>
    <x v="550"/>
    <x v="6"/>
    <x v="0"/>
    <n v="94"/>
    <n v="94"/>
    <x v="23"/>
    <d v="2025-01-25T00:00:00"/>
    <s v="M"/>
    <x v="3"/>
    <x v="1"/>
    <x v="0"/>
    <x v="1"/>
    <x v="3"/>
    <x v="3"/>
    <x v="1"/>
  </r>
  <r>
    <x v="551"/>
    <x v="8"/>
    <x v="2"/>
    <n v="21.9"/>
    <n v="65.699999999999989"/>
    <x v="23"/>
    <d v="2025-01-25T00:00:00"/>
    <s v="F"/>
    <x v="0"/>
    <x v="0"/>
    <x v="0"/>
    <x v="44"/>
    <x v="3"/>
    <x v="3"/>
    <x v="2"/>
  </r>
  <r>
    <x v="552"/>
    <x v="6"/>
    <x v="3"/>
    <n v="64.900000000000006"/>
    <n v="454.30000000000007"/>
    <x v="23"/>
    <d v="2025-01-25T00:00:00"/>
    <s v="F"/>
    <x v="0"/>
    <x v="0"/>
    <x v="0"/>
    <x v="3"/>
    <x v="3"/>
    <x v="3"/>
    <x v="2"/>
  </r>
  <r>
    <x v="553"/>
    <x v="12"/>
    <x v="0"/>
    <n v="52.9"/>
    <n v="52.9"/>
    <x v="23"/>
    <d v="2025-01-24T00:00:00"/>
    <s v="F"/>
    <x v="1"/>
    <x v="1"/>
    <x v="0"/>
    <x v="3"/>
    <x v="7"/>
    <x v="3"/>
    <x v="2"/>
  </r>
  <r>
    <x v="554"/>
    <x v="8"/>
    <x v="2"/>
    <n v="25.5"/>
    <n v="76.5"/>
    <x v="23"/>
    <d v="2025-01-25T00:00:00"/>
    <s v="F"/>
    <x v="1"/>
    <x v="2"/>
    <x v="0"/>
    <x v="3"/>
    <x v="3"/>
    <x v="3"/>
    <x v="2"/>
  </r>
  <r>
    <x v="555"/>
    <x v="6"/>
    <x v="2"/>
    <n v="51.9"/>
    <n v="155.69999999999999"/>
    <x v="23"/>
    <d v="2025-01-25T00:00:00"/>
    <s v="F"/>
    <x v="3"/>
    <x v="0"/>
    <x v="0"/>
    <x v="3"/>
    <x v="3"/>
    <x v="3"/>
    <x v="2"/>
  </r>
  <r>
    <x v="556"/>
    <x v="5"/>
    <x v="0"/>
    <n v="46.3"/>
    <n v="46.3"/>
    <x v="23"/>
    <d v="2025-01-27T00:00:00"/>
    <s v="F"/>
    <x v="4"/>
    <x v="0"/>
    <x v="0"/>
    <x v="3"/>
    <x v="2"/>
    <x v="3"/>
    <x v="2"/>
  </r>
  <r>
    <x v="557"/>
    <x v="6"/>
    <x v="1"/>
    <n v="68.2"/>
    <n v="136.4"/>
    <x v="23"/>
    <d v="2025-01-26T00:00:00"/>
    <s v="F"/>
    <x v="3"/>
    <x v="0"/>
    <x v="0"/>
    <x v="3"/>
    <x v="1"/>
    <x v="3"/>
    <x v="2"/>
  </r>
  <r>
    <x v="558"/>
    <x v="1"/>
    <x v="0"/>
    <n v="40.299999999999997"/>
    <n v="40.299999999999997"/>
    <x v="23"/>
    <d v="2025-01-25T00:00:00"/>
    <s v="M"/>
    <x v="0"/>
    <x v="1"/>
    <x v="0"/>
    <x v="3"/>
    <x v="3"/>
    <x v="3"/>
    <x v="1"/>
  </r>
  <r>
    <x v="559"/>
    <x v="2"/>
    <x v="2"/>
    <n v="91.3"/>
    <n v="273.89999999999998"/>
    <x v="23"/>
    <d v="2025-01-29T00:00:00"/>
    <s v="M"/>
    <x v="0"/>
    <x v="2"/>
    <x v="0"/>
    <x v="6"/>
    <x v="0"/>
    <x v="3"/>
    <x v="1"/>
  </r>
  <r>
    <x v="560"/>
    <x v="0"/>
    <x v="2"/>
    <n v="11.9"/>
    <n v="35.700000000000003"/>
    <x v="23"/>
    <d v="2025-01-25T00:00:00"/>
    <s v="F"/>
    <x v="0"/>
    <x v="1"/>
    <x v="0"/>
    <x v="6"/>
    <x v="3"/>
    <x v="3"/>
    <x v="2"/>
  </r>
  <r>
    <x v="561"/>
    <x v="2"/>
    <x v="1"/>
    <n v="63.5"/>
    <n v="127"/>
    <x v="23"/>
    <d v="2025-01-26T00:00:00"/>
    <s v="M"/>
    <x v="1"/>
    <x v="0"/>
    <x v="0"/>
    <x v="6"/>
    <x v="1"/>
    <x v="3"/>
    <x v="1"/>
  </r>
  <r>
    <x v="562"/>
    <x v="4"/>
    <x v="1"/>
    <n v="27.1"/>
    <n v="54.2"/>
    <x v="23"/>
    <d v="2025-01-27T00:00:00"/>
    <s v="M"/>
    <x v="2"/>
    <x v="2"/>
    <x v="0"/>
    <x v="6"/>
    <x v="2"/>
    <x v="3"/>
    <x v="1"/>
  </r>
  <r>
    <x v="563"/>
    <x v="1"/>
    <x v="1"/>
    <n v="82.1"/>
    <n v="164.2"/>
    <x v="24"/>
    <d v="2025-01-28T00:00:00"/>
    <s v="M"/>
    <x v="1"/>
    <x v="1"/>
    <x v="0"/>
    <x v="7"/>
    <x v="2"/>
    <x v="3"/>
    <x v="1"/>
  </r>
  <r>
    <x v="564"/>
    <x v="3"/>
    <x v="9"/>
    <n v="42.9"/>
    <n v="214.5"/>
    <x v="24"/>
    <d v="2025-01-27T00:00:00"/>
    <s v="F"/>
    <x v="1"/>
    <x v="0"/>
    <x v="0"/>
    <x v="8"/>
    <x v="1"/>
    <x v="3"/>
    <x v="2"/>
  </r>
  <r>
    <x v="565"/>
    <x v="8"/>
    <x v="5"/>
    <n v="37.9"/>
    <n v="416.9"/>
    <x v="24"/>
    <d v="2025-02-01T00:00:00"/>
    <s v="M"/>
    <x v="0"/>
    <x v="0"/>
    <x v="0"/>
    <x v="8"/>
    <x v="6"/>
    <x v="3"/>
    <x v="1"/>
  </r>
  <r>
    <x v="566"/>
    <x v="0"/>
    <x v="0"/>
    <n v="22.4"/>
    <n v="22.4"/>
    <x v="24"/>
    <d v="2025-01-26T00:00:00"/>
    <s v="F"/>
    <x v="0"/>
    <x v="1"/>
    <x v="0"/>
    <x v="17"/>
    <x v="3"/>
    <x v="3"/>
    <x v="2"/>
  </r>
  <r>
    <x v="567"/>
    <x v="2"/>
    <x v="15"/>
    <n v="79.900000000000006"/>
    <n v="1038.7"/>
    <x v="24"/>
    <d v="2025-02-07T00:00:00"/>
    <s v="F"/>
    <x v="3"/>
    <x v="1"/>
    <x v="0"/>
    <x v="11"/>
    <x v="10"/>
    <x v="3"/>
    <x v="2"/>
  </r>
  <r>
    <x v="568"/>
    <x v="1"/>
    <x v="0"/>
    <n v="70.599999999999994"/>
    <n v="70.599999999999994"/>
    <x v="24"/>
    <d v="2025-01-28T00:00:00"/>
    <s v="F"/>
    <x v="0"/>
    <x v="1"/>
    <x v="0"/>
    <x v="11"/>
    <x v="2"/>
    <x v="3"/>
    <x v="2"/>
  </r>
  <r>
    <x v="569"/>
    <x v="6"/>
    <x v="0"/>
    <n v="49.5"/>
    <n v="49.5"/>
    <x v="24"/>
    <d v="2025-01-27T00:00:00"/>
    <s v="M"/>
    <x v="0"/>
    <x v="0"/>
    <x v="0"/>
    <x v="13"/>
    <x v="1"/>
    <x v="3"/>
    <x v="1"/>
  </r>
  <r>
    <x v="570"/>
    <x v="2"/>
    <x v="1"/>
    <n v="96.6"/>
    <n v="193.2"/>
    <x v="24"/>
    <d v="2025-01-27T00:00:00"/>
    <s v="M"/>
    <x v="0"/>
    <x v="0"/>
    <x v="0"/>
    <x v="21"/>
    <x v="1"/>
    <x v="3"/>
    <x v="1"/>
  </r>
  <r>
    <x v="571"/>
    <x v="6"/>
    <x v="1"/>
    <n v="52.8"/>
    <n v="105.6"/>
    <x v="24"/>
    <d v="2025-01-26T00:00:00"/>
    <s v="F"/>
    <x v="1"/>
    <x v="1"/>
    <x v="0"/>
    <x v="21"/>
    <x v="3"/>
    <x v="3"/>
    <x v="2"/>
  </r>
  <r>
    <x v="572"/>
    <x v="2"/>
    <x v="0"/>
    <n v="101.7"/>
    <n v="101.7"/>
    <x v="24"/>
    <d v="2025-01-26T00:00:00"/>
    <s v="M"/>
    <x v="0"/>
    <x v="0"/>
    <x v="0"/>
    <x v="1"/>
    <x v="3"/>
    <x v="3"/>
    <x v="1"/>
  </r>
  <r>
    <x v="573"/>
    <x v="4"/>
    <x v="9"/>
    <n v="26.9"/>
    <n v="134.5"/>
    <x v="24"/>
    <d v="2025-01-30T00:00:00"/>
    <s v="F"/>
    <x v="1"/>
    <x v="1"/>
    <x v="0"/>
    <x v="22"/>
    <x v="0"/>
    <x v="3"/>
    <x v="2"/>
  </r>
  <r>
    <x v="574"/>
    <x v="2"/>
    <x v="12"/>
    <n v="211"/>
    <n v="844"/>
    <x v="24"/>
    <d v="2025-01-25T00:00:00"/>
    <s v="F"/>
    <x v="1"/>
    <x v="1"/>
    <x v="0"/>
    <x v="3"/>
    <x v="7"/>
    <x v="3"/>
    <x v="2"/>
  </r>
  <r>
    <x v="575"/>
    <x v="0"/>
    <x v="12"/>
    <n v="21.1"/>
    <n v="84.4"/>
    <x v="24"/>
    <d v="2025-01-28T00:00:00"/>
    <s v="M"/>
    <x v="4"/>
    <x v="0"/>
    <x v="0"/>
    <x v="3"/>
    <x v="2"/>
    <x v="3"/>
    <x v="1"/>
  </r>
  <r>
    <x v="576"/>
    <x v="10"/>
    <x v="0"/>
    <n v="26.6"/>
    <n v="26.6"/>
    <x v="24"/>
    <d v="2025-01-27T00:00:00"/>
    <s v="M"/>
    <x v="0"/>
    <x v="4"/>
    <x v="0"/>
    <x v="3"/>
    <x v="1"/>
    <x v="3"/>
    <x v="1"/>
  </r>
  <r>
    <x v="577"/>
    <x v="12"/>
    <x v="12"/>
    <n v="51.2"/>
    <n v="204.8"/>
    <x v="24"/>
    <d v="2025-01-26T00:00:00"/>
    <s v="F"/>
    <x v="3"/>
    <x v="0"/>
    <x v="0"/>
    <x v="47"/>
    <x v="3"/>
    <x v="3"/>
    <x v="2"/>
  </r>
  <r>
    <x v="578"/>
    <x v="0"/>
    <x v="9"/>
    <n v="10.6"/>
    <n v="53"/>
    <x v="24"/>
    <d v="2025-01-29T00:00:00"/>
    <s v="F"/>
    <x v="0"/>
    <x v="0"/>
    <x v="0"/>
    <x v="8"/>
    <x v="5"/>
    <x v="3"/>
    <x v="2"/>
  </r>
  <r>
    <x v="579"/>
    <x v="6"/>
    <x v="2"/>
    <n v="43.4"/>
    <n v="130.19999999999999"/>
    <x v="24"/>
    <d v="2025-01-28T00:00:00"/>
    <s v="F"/>
    <x v="4"/>
    <x v="0"/>
    <x v="0"/>
    <x v="8"/>
    <x v="2"/>
    <x v="3"/>
    <x v="2"/>
  </r>
  <r>
    <x v="580"/>
    <x v="12"/>
    <x v="0"/>
    <n v="80"/>
    <n v="80"/>
    <x v="24"/>
    <d v="2025-01-25T00:00:00"/>
    <s v="F"/>
    <x v="0"/>
    <x v="2"/>
    <x v="0"/>
    <x v="8"/>
    <x v="7"/>
    <x v="3"/>
    <x v="2"/>
  </r>
  <r>
    <x v="581"/>
    <x v="10"/>
    <x v="12"/>
    <n v="64.7"/>
    <n v="258.8"/>
    <x v="24"/>
    <d v="2025-01-27T00:00:00"/>
    <s v="F"/>
    <x v="1"/>
    <x v="4"/>
    <x v="0"/>
    <x v="8"/>
    <x v="1"/>
    <x v="3"/>
    <x v="2"/>
  </r>
  <r>
    <x v="582"/>
    <x v="8"/>
    <x v="5"/>
    <n v="26.3"/>
    <n v="289.3"/>
    <x v="25"/>
    <d v="2025-01-26T00:00:00"/>
    <s v="F"/>
    <x v="4"/>
    <x v="1"/>
    <x v="0"/>
    <x v="26"/>
    <x v="7"/>
    <x v="4"/>
    <x v="2"/>
  </r>
  <r>
    <x v="583"/>
    <x v="10"/>
    <x v="0"/>
    <n v="28.5"/>
    <n v="28.5"/>
    <x v="25"/>
    <d v="2025-01-26T00:00:00"/>
    <s v="M"/>
    <x v="0"/>
    <x v="1"/>
    <x v="0"/>
    <x v="9"/>
    <x v="7"/>
    <x v="4"/>
    <x v="1"/>
  </r>
  <r>
    <x v="584"/>
    <x v="17"/>
    <x v="0"/>
    <n v="47.8"/>
    <n v="47.8"/>
    <x v="25"/>
    <d v="2025-01-28T00:00:00"/>
    <s v="F"/>
    <x v="0"/>
    <x v="1"/>
    <x v="0"/>
    <x v="9"/>
    <x v="1"/>
    <x v="4"/>
    <x v="2"/>
  </r>
  <r>
    <x v="585"/>
    <x v="10"/>
    <x v="2"/>
    <n v="42.8"/>
    <n v="128.39999999999998"/>
    <x v="25"/>
    <d v="2025-01-29T00:00:00"/>
    <s v="F"/>
    <x v="4"/>
    <x v="1"/>
    <x v="0"/>
    <x v="11"/>
    <x v="2"/>
    <x v="4"/>
    <x v="2"/>
  </r>
  <r>
    <x v="586"/>
    <x v="6"/>
    <x v="9"/>
    <n v="46.8"/>
    <n v="234"/>
    <x v="25"/>
    <d v="2025-01-31T00:00:00"/>
    <s v="F"/>
    <x v="1"/>
    <x v="2"/>
    <x v="0"/>
    <x v="11"/>
    <x v="0"/>
    <x v="4"/>
    <x v="2"/>
  </r>
  <r>
    <x v="587"/>
    <x v="1"/>
    <x v="7"/>
    <n v="64.099999999999994"/>
    <n v="641"/>
    <x v="25"/>
    <d v="2025-01-27T00:00:00"/>
    <s v="M"/>
    <x v="1"/>
    <x v="0"/>
    <x v="0"/>
    <x v="11"/>
    <x v="3"/>
    <x v="4"/>
    <x v="1"/>
  </r>
  <r>
    <x v="588"/>
    <x v="2"/>
    <x v="0"/>
    <n v="89.1"/>
    <n v="89.1"/>
    <x v="25"/>
    <d v="2025-01-27T00:00:00"/>
    <s v="F"/>
    <x v="0"/>
    <x v="1"/>
    <x v="0"/>
    <x v="20"/>
    <x v="3"/>
    <x v="4"/>
    <x v="2"/>
  </r>
  <r>
    <x v="589"/>
    <x v="2"/>
    <x v="2"/>
    <n v="83.1"/>
    <n v="249.29999999999998"/>
    <x v="25"/>
    <d v="2025-01-27T00:00:00"/>
    <s v="F"/>
    <x v="2"/>
    <x v="1"/>
    <x v="0"/>
    <x v="13"/>
    <x v="3"/>
    <x v="4"/>
    <x v="2"/>
  </r>
  <r>
    <x v="590"/>
    <x v="8"/>
    <x v="2"/>
    <n v="40.9"/>
    <n v="122.69999999999999"/>
    <x v="25"/>
    <d v="2025-01-27T00:00:00"/>
    <s v="M"/>
    <x v="0"/>
    <x v="0"/>
    <x v="0"/>
    <x v="1"/>
    <x v="3"/>
    <x v="4"/>
    <x v="1"/>
  </r>
  <r>
    <x v="591"/>
    <x v="2"/>
    <x v="1"/>
    <n v="125.7"/>
    <n v="251.4"/>
    <x v="25"/>
    <d v="2025-01-27T00:00:00"/>
    <s v="F"/>
    <x v="3"/>
    <x v="0"/>
    <x v="0"/>
    <x v="2"/>
    <x v="3"/>
    <x v="4"/>
    <x v="2"/>
  </r>
  <r>
    <x v="592"/>
    <x v="3"/>
    <x v="1"/>
    <n v="30.9"/>
    <n v="61.8"/>
    <x v="25"/>
    <d v="2025-01-26T00:00:00"/>
    <s v="F"/>
    <x v="2"/>
    <x v="2"/>
    <x v="0"/>
    <x v="22"/>
    <x v="7"/>
    <x v="4"/>
    <x v="2"/>
  </r>
  <r>
    <x v="593"/>
    <x v="8"/>
    <x v="1"/>
    <n v="18.3"/>
    <n v="36.6"/>
    <x v="25"/>
    <d v="2025-01-27T00:00:00"/>
    <s v="F"/>
    <x v="1"/>
    <x v="0"/>
    <x v="0"/>
    <x v="3"/>
    <x v="3"/>
    <x v="4"/>
    <x v="2"/>
  </r>
  <r>
    <x v="594"/>
    <x v="4"/>
    <x v="1"/>
    <n v="56.5"/>
    <n v="113"/>
    <x v="25"/>
    <d v="2025-01-30T00:00:00"/>
    <s v="M"/>
    <x v="2"/>
    <x v="2"/>
    <x v="0"/>
    <x v="3"/>
    <x v="5"/>
    <x v="4"/>
    <x v="1"/>
  </r>
  <r>
    <x v="595"/>
    <x v="10"/>
    <x v="3"/>
    <n v="29.9"/>
    <n v="209.29999999999998"/>
    <x v="25"/>
    <d v="2025-01-28T00:00:00"/>
    <s v="M"/>
    <x v="4"/>
    <x v="2"/>
    <x v="0"/>
    <x v="3"/>
    <x v="1"/>
    <x v="4"/>
    <x v="1"/>
  </r>
  <r>
    <x v="596"/>
    <x v="5"/>
    <x v="1"/>
    <n v="50.4"/>
    <n v="100.8"/>
    <x v="25"/>
    <d v="2025-01-27T00:00:00"/>
    <s v="F"/>
    <x v="2"/>
    <x v="0"/>
    <x v="0"/>
    <x v="3"/>
    <x v="3"/>
    <x v="4"/>
    <x v="2"/>
  </r>
  <r>
    <x v="597"/>
    <x v="2"/>
    <x v="0"/>
    <n v="85.8"/>
    <n v="85.8"/>
    <x v="25"/>
    <d v="2025-01-26T00:00:00"/>
    <s v="F"/>
    <x v="2"/>
    <x v="2"/>
    <x v="0"/>
    <x v="3"/>
    <x v="7"/>
    <x v="4"/>
    <x v="2"/>
  </r>
  <r>
    <x v="598"/>
    <x v="4"/>
    <x v="27"/>
    <n v="66.599999999999994"/>
    <n v="1065.5999999999999"/>
    <x v="25"/>
    <d v="2025-01-28T00:00:00"/>
    <s v="M"/>
    <x v="1"/>
    <x v="0"/>
    <x v="0"/>
    <x v="3"/>
    <x v="1"/>
    <x v="4"/>
    <x v="1"/>
  </r>
  <r>
    <x v="599"/>
    <x v="6"/>
    <x v="12"/>
    <n v="70.3"/>
    <n v="281.2"/>
    <x v="25"/>
    <d v="2025-01-27T00:00:00"/>
    <s v="F"/>
    <x v="0"/>
    <x v="1"/>
    <x v="0"/>
    <x v="3"/>
    <x v="3"/>
    <x v="4"/>
    <x v="2"/>
  </r>
  <r>
    <x v="600"/>
    <x v="8"/>
    <x v="12"/>
    <n v="31"/>
    <n v="124"/>
    <x v="25"/>
    <d v="2025-01-29T00:00:00"/>
    <s v="M"/>
    <x v="0"/>
    <x v="2"/>
    <x v="0"/>
    <x v="3"/>
    <x v="2"/>
    <x v="4"/>
    <x v="1"/>
  </r>
  <r>
    <x v="601"/>
    <x v="7"/>
    <x v="13"/>
    <n v="81.599999999999994"/>
    <n v="489.59999999999997"/>
    <x v="25"/>
    <d v="2025-01-27T00:00:00"/>
    <s v="F"/>
    <x v="1"/>
    <x v="1"/>
    <x v="0"/>
    <x v="37"/>
    <x v="3"/>
    <x v="4"/>
    <x v="2"/>
  </r>
  <r>
    <x v="602"/>
    <x v="1"/>
    <x v="30"/>
    <n v="58.3"/>
    <n v="1457.5"/>
    <x v="25"/>
    <d v="2025-01-27T00:00:00"/>
    <s v="F"/>
    <x v="0"/>
    <x v="0"/>
    <x v="0"/>
    <x v="16"/>
    <x v="3"/>
    <x v="4"/>
    <x v="2"/>
  </r>
  <r>
    <x v="603"/>
    <x v="1"/>
    <x v="12"/>
    <n v="35.1"/>
    <n v="140.4"/>
    <x v="25"/>
    <d v="2025-01-28T00:00:00"/>
    <s v="M"/>
    <x v="0"/>
    <x v="2"/>
    <x v="0"/>
    <x v="8"/>
    <x v="1"/>
    <x v="4"/>
    <x v="1"/>
  </r>
  <r>
    <x v="604"/>
    <x v="2"/>
    <x v="0"/>
    <n v="80.2"/>
    <n v="80.2"/>
    <x v="25"/>
    <d v="2025-01-27T00:00:00"/>
    <s v="M"/>
    <x v="3"/>
    <x v="2"/>
    <x v="0"/>
    <x v="8"/>
    <x v="3"/>
    <x v="4"/>
    <x v="1"/>
  </r>
  <r>
    <x v="605"/>
    <x v="14"/>
    <x v="2"/>
    <n v="39.200000000000003"/>
    <n v="117.60000000000001"/>
    <x v="25"/>
    <d v="2025-01-28T00:00:00"/>
    <s v="F"/>
    <x v="1"/>
    <x v="0"/>
    <x v="0"/>
    <x v="9"/>
    <x v="1"/>
    <x v="4"/>
    <x v="2"/>
  </r>
  <r>
    <x v="606"/>
    <x v="0"/>
    <x v="1"/>
    <n v="15.4"/>
    <n v="30.8"/>
    <x v="25"/>
    <d v="2025-01-26T00:00:00"/>
    <s v="F"/>
    <x v="3"/>
    <x v="0"/>
    <x v="0"/>
    <x v="48"/>
    <x v="7"/>
    <x v="4"/>
    <x v="2"/>
  </r>
  <r>
    <x v="607"/>
    <x v="3"/>
    <x v="2"/>
    <n v="65.400000000000006"/>
    <n v="196.20000000000002"/>
    <x v="25"/>
    <d v="2025-01-29T00:00:00"/>
    <s v="M"/>
    <x v="3"/>
    <x v="0"/>
    <x v="0"/>
    <x v="18"/>
    <x v="2"/>
    <x v="4"/>
    <x v="1"/>
  </r>
  <r>
    <x v="608"/>
    <x v="1"/>
    <x v="8"/>
    <n v="63.2"/>
    <n v="505.6"/>
    <x v="25"/>
    <d v="2025-01-28T00:00:00"/>
    <s v="F"/>
    <x v="1"/>
    <x v="0"/>
    <x v="0"/>
    <x v="19"/>
    <x v="1"/>
    <x v="4"/>
    <x v="2"/>
  </r>
  <r>
    <x v="609"/>
    <x v="1"/>
    <x v="13"/>
    <n v="35.700000000000003"/>
    <n v="214.20000000000002"/>
    <x v="25"/>
    <d v="2025-01-30T00:00:00"/>
    <s v="F"/>
    <x v="4"/>
    <x v="1"/>
    <x v="0"/>
    <x v="19"/>
    <x v="5"/>
    <x v="4"/>
    <x v="2"/>
  </r>
  <r>
    <x v="610"/>
    <x v="0"/>
    <x v="28"/>
    <n v="26.2"/>
    <n v="524"/>
    <x v="25"/>
    <d v="2025-01-27T00:00:00"/>
    <s v="F"/>
    <x v="3"/>
    <x v="0"/>
    <x v="0"/>
    <x v="21"/>
    <x v="3"/>
    <x v="4"/>
    <x v="2"/>
  </r>
  <r>
    <x v="611"/>
    <x v="7"/>
    <x v="1"/>
    <n v="31"/>
    <n v="62"/>
    <x v="25"/>
    <d v="2025-01-27T00:00:00"/>
    <s v="F"/>
    <x v="0"/>
    <x v="2"/>
    <x v="0"/>
    <x v="1"/>
    <x v="3"/>
    <x v="4"/>
    <x v="2"/>
  </r>
  <r>
    <x v="612"/>
    <x v="8"/>
    <x v="12"/>
    <n v="37.700000000000003"/>
    <n v="150.80000000000001"/>
    <x v="25"/>
    <d v="2025-01-27T00:00:00"/>
    <s v="F"/>
    <x v="1"/>
    <x v="0"/>
    <x v="0"/>
    <x v="22"/>
    <x v="3"/>
    <x v="4"/>
    <x v="2"/>
  </r>
  <r>
    <x v="613"/>
    <x v="10"/>
    <x v="33"/>
    <n v="43.6"/>
    <n v="1482.4"/>
    <x v="25"/>
    <d v="2025-01-28T00:00:00"/>
    <s v="F"/>
    <x v="4"/>
    <x v="1"/>
    <x v="0"/>
    <x v="3"/>
    <x v="1"/>
    <x v="4"/>
    <x v="2"/>
  </r>
  <r>
    <x v="614"/>
    <x v="9"/>
    <x v="12"/>
    <n v="26.5"/>
    <n v="106"/>
    <x v="25"/>
    <d v="2025-01-28T00:00:00"/>
    <s v="M"/>
    <x v="0"/>
    <x v="4"/>
    <x v="0"/>
    <x v="3"/>
    <x v="1"/>
    <x v="4"/>
    <x v="1"/>
  </r>
  <r>
    <x v="615"/>
    <x v="0"/>
    <x v="1"/>
    <n v="34.6"/>
    <n v="69.2"/>
    <x v="25"/>
    <d v="2025-01-27T00:00:00"/>
    <s v="M"/>
    <x v="4"/>
    <x v="1"/>
    <x v="0"/>
    <x v="3"/>
    <x v="3"/>
    <x v="4"/>
    <x v="1"/>
  </r>
  <r>
    <x v="616"/>
    <x v="8"/>
    <x v="1"/>
    <n v="58.2"/>
    <n v="116.4"/>
    <x v="25"/>
    <d v="2025-01-27T00:00:00"/>
    <s v="M"/>
    <x v="2"/>
    <x v="2"/>
    <x v="0"/>
    <x v="3"/>
    <x v="3"/>
    <x v="4"/>
    <x v="1"/>
  </r>
  <r>
    <x v="617"/>
    <x v="7"/>
    <x v="0"/>
    <n v="30.2"/>
    <n v="30.2"/>
    <x v="26"/>
    <d v="2025-01-28T00:00:00"/>
    <s v="F"/>
    <x v="2"/>
    <x v="1"/>
    <x v="0"/>
    <x v="3"/>
    <x v="3"/>
    <x v="4"/>
    <x v="2"/>
  </r>
  <r>
    <x v="618"/>
    <x v="1"/>
    <x v="7"/>
    <n v="53.2"/>
    <n v="532"/>
    <x v="26"/>
    <d v="2025-01-28T00:00:00"/>
    <s v="M"/>
    <x v="0"/>
    <x v="2"/>
    <x v="0"/>
    <x v="5"/>
    <x v="3"/>
    <x v="4"/>
    <x v="1"/>
  </r>
  <r>
    <x v="619"/>
    <x v="12"/>
    <x v="13"/>
    <n v="51.1"/>
    <n v="306.60000000000002"/>
    <x v="26"/>
    <d v="2025-01-27T00:00:00"/>
    <s v="M"/>
    <x v="1"/>
    <x v="2"/>
    <x v="0"/>
    <x v="5"/>
    <x v="7"/>
    <x v="4"/>
    <x v="1"/>
  </r>
  <r>
    <x v="620"/>
    <x v="1"/>
    <x v="0"/>
    <n v="105.4"/>
    <n v="105.4"/>
    <x v="26"/>
    <d v="2025-01-31T00:00:00"/>
    <s v="F"/>
    <x v="1"/>
    <x v="2"/>
    <x v="0"/>
    <x v="23"/>
    <x v="5"/>
    <x v="4"/>
    <x v="2"/>
  </r>
  <r>
    <x v="621"/>
    <x v="7"/>
    <x v="0"/>
    <n v="57.7"/>
    <n v="57.7"/>
    <x v="26"/>
    <d v="2025-01-27T00:00:00"/>
    <s v="M"/>
    <x v="0"/>
    <x v="4"/>
    <x v="0"/>
    <x v="8"/>
    <x v="7"/>
    <x v="4"/>
    <x v="1"/>
  </r>
  <r>
    <x v="622"/>
    <x v="15"/>
    <x v="1"/>
    <n v="72.400000000000006"/>
    <n v="144.80000000000001"/>
    <x v="26"/>
    <d v="2025-02-01T00:00:00"/>
    <s v="F"/>
    <x v="0"/>
    <x v="0"/>
    <x v="0"/>
    <x v="17"/>
    <x v="0"/>
    <x v="4"/>
    <x v="2"/>
  </r>
  <r>
    <x v="623"/>
    <x v="6"/>
    <x v="1"/>
    <n v="62.5"/>
    <n v="125"/>
    <x v="26"/>
    <d v="2025-01-28T00:00:00"/>
    <s v=""/>
    <x v="0"/>
    <x v="2"/>
    <x v="0"/>
    <x v="11"/>
    <x v="3"/>
    <x v="4"/>
    <x v="0"/>
  </r>
  <r>
    <x v="624"/>
    <x v="0"/>
    <x v="32"/>
    <n v="11.6"/>
    <n v="255.2"/>
    <x v="26"/>
    <d v="2025-01-29T00:00:00"/>
    <s v="F"/>
    <x v="3"/>
    <x v="2"/>
    <x v="0"/>
    <x v="18"/>
    <x v="1"/>
    <x v="4"/>
    <x v="2"/>
  </r>
  <r>
    <x v="625"/>
    <x v="10"/>
    <x v="7"/>
    <n v="39.6"/>
    <n v="396"/>
    <x v="26"/>
    <d v="2025-01-29T00:00:00"/>
    <s v="F"/>
    <x v="2"/>
    <x v="2"/>
    <x v="0"/>
    <x v="18"/>
    <x v="1"/>
    <x v="4"/>
    <x v="2"/>
  </r>
  <r>
    <x v="626"/>
    <x v="8"/>
    <x v="1"/>
    <n v="40.1"/>
    <n v="80.2"/>
    <x v="26"/>
    <d v="2025-01-28T00:00:00"/>
    <s v="F"/>
    <x v="2"/>
    <x v="0"/>
    <x v="0"/>
    <x v="18"/>
    <x v="3"/>
    <x v="4"/>
    <x v="2"/>
  </r>
  <r>
    <x v="627"/>
    <x v="8"/>
    <x v="2"/>
    <n v="18.600000000000001"/>
    <n v="55.800000000000004"/>
    <x v="26"/>
    <d v="2025-01-28T00:00:00"/>
    <s v="F"/>
    <x v="2"/>
    <x v="0"/>
    <x v="0"/>
    <x v="21"/>
    <x v="3"/>
    <x v="4"/>
    <x v="2"/>
  </r>
  <r>
    <x v="628"/>
    <x v="4"/>
    <x v="0"/>
    <n v="58.8"/>
    <n v="58.8"/>
    <x v="26"/>
    <d v="2025-01-29T00:00:00"/>
    <s v="F"/>
    <x v="0"/>
    <x v="1"/>
    <x v="0"/>
    <x v="21"/>
    <x v="1"/>
    <x v="4"/>
    <x v="2"/>
  </r>
  <r>
    <x v="629"/>
    <x v="8"/>
    <x v="1"/>
    <n v="22.1"/>
    <n v="44.2"/>
    <x v="26"/>
    <d v="2025-01-30T00:00:00"/>
    <s v="M"/>
    <x v="1"/>
    <x v="2"/>
    <x v="0"/>
    <x v="21"/>
    <x v="2"/>
    <x v="4"/>
    <x v="1"/>
  </r>
  <r>
    <x v="630"/>
    <x v="2"/>
    <x v="0"/>
    <n v="114.9"/>
    <n v="114.9"/>
    <x v="27"/>
    <d v="2025-01-29T00:00:00"/>
    <s v="F"/>
    <x v="1"/>
    <x v="1"/>
    <x v="0"/>
    <x v="22"/>
    <x v="3"/>
    <x v="4"/>
    <x v="2"/>
  </r>
  <r>
    <x v="631"/>
    <x v="9"/>
    <x v="9"/>
    <n v="75.8"/>
    <n v="379"/>
    <x v="27"/>
    <d v="2025-01-29T00:00:00"/>
    <s v="M"/>
    <x v="0"/>
    <x v="2"/>
    <x v="0"/>
    <x v="3"/>
    <x v="3"/>
    <x v="4"/>
    <x v="1"/>
  </r>
  <r>
    <x v="632"/>
    <x v="14"/>
    <x v="9"/>
    <n v="20.6"/>
    <n v="103"/>
    <x v="27"/>
    <d v="2025-01-29T00:00:00"/>
    <s v="M"/>
    <x v="2"/>
    <x v="2"/>
    <x v="0"/>
    <x v="3"/>
    <x v="3"/>
    <x v="4"/>
    <x v="1"/>
  </r>
  <r>
    <x v="633"/>
    <x v="17"/>
    <x v="2"/>
    <n v="67.900000000000006"/>
    <n v="203.70000000000002"/>
    <x v="27"/>
    <d v="2025-01-29T00:00:00"/>
    <s v="F"/>
    <x v="1"/>
    <x v="1"/>
    <x v="0"/>
    <x v="3"/>
    <x v="3"/>
    <x v="4"/>
    <x v="2"/>
  </r>
  <r>
    <x v="634"/>
    <x v="0"/>
    <x v="9"/>
    <n v="27"/>
    <n v="135"/>
    <x v="27"/>
    <d v="2025-02-04T00:00:00"/>
    <s v="F"/>
    <x v="0"/>
    <x v="2"/>
    <x v="0"/>
    <x v="3"/>
    <x v="6"/>
    <x v="4"/>
    <x v="2"/>
  </r>
  <r>
    <x v="635"/>
    <x v="13"/>
    <x v="0"/>
    <n v="50.6"/>
    <n v="50.6"/>
    <x v="27"/>
    <d v="2025-01-28T00:00:00"/>
    <s v="M"/>
    <x v="0"/>
    <x v="1"/>
    <x v="0"/>
    <x v="3"/>
    <x v="7"/>
    <x v="4"/>
    <x v="1"/>
  </r>
  <r>
    <x v="636"/>
    <x v="4"/>
    <x v="9"/>
    <n v="22.1"/>
    <n v="110.5"/>
    <x v="27"/>
    <d v="2025-02-02T00:00:00"/>
    <s v="M"/>
    <x v="0"/>
    <x v="0"/>
    <x v="0"/>
    <x v="3"/>
    <x v="0"/>
    <x v="4"/>
    <x v="1"/>
  </r>
  <r>
    <x v="637"/>
    <x v="8"/>
    <x v="2"/>
    <n v="42.9"/>
    <n v="128.69999999999999"/>
    <x v="27"/>
    <d v="2025-01-30T00:00:00"/>
    <s v="F"/>
    <x v="0"/>
    <x v="0"/>
    <x v="0"/>
    <x v="3"/>
    <x v="1"/>
    <x v="4"/>
    <x v="2"/>
  </r>
  <r>
    <x v="638"/>
    <x v="1"/>
    <x v="5"/>
    <n v="62.4"/>
    <n v="686.4"/>
    <x v="27"/>
    <d v="2025-01-30T00:00:00"/>
    <s v="F"/>
    <x v="2"/>
    <x v="0"/>
    <x v="0"/>
    <x v="3"/>
    <x v="1"/>
    <x v="4"/>
    <x v="2"/>
  </r>
  <r>
    <x v="639"/>
    <x v="13"/>
    <x v="11"/>
    <n v="36.4"/>
    <n v="327.59999999999997"/>
    <x v="27"/>
    <d v="2025-01-30T00:00:00"/>
    <s v="F"/>
    <x v="0"/>
    <x v="2"/>
    <x v="0"/>
    <x v="3"/>
    <x v="1"/>
    <x v="4"/>
    <x v="2"/>
  </r>
  <r>
    <x v="640"/>
    <x v="0"/>
    <x v="1"/>
    <n v="22.5"/>
    <n v="45"/>
    <x v="27"/>
    <d v="2025-01-31T00:00:00"/>
    <s v="M"/>
    <x v="0"/>
    <x v="0"/>
    <x v="0"/>
    <x v="3"/>
    <x v="2"/>
    <x v="4"/>
    <x v="1"/>
  </r>
  <r>
    <x v="641"/>
    <x v="6"/>
    <x v="12"/>
    <n v="70.8"/>
    <n v="283.2"/>
    <x v="27"/>
    <d v="2025-01-30T00:00:00"/>
    <s v="F"/>
    <x v="4"/>
    <x v="0"/>
    <x v="0"/>
    <x v="3"/>
    <x v="1"/>
    <x v="4"/>
    <x v="2"/>
  </r>
  <r>
    <x v="642"/>
    <x v="6"/>
    <x v="9"/>
    <n v="56.6"/>
    <n v="283"/>
    <x v="27"/>
    <d v="2025-01-30T00:00:00"/>
    <s v="M"/>
    <x v="0"/>
    <x v="1"/>
    <x v="0"/>
    <x v="4"/>
    <x v="1"/>
    <x v="4"/>
    <x v="1"/>
  </r>
  <r>
    <x v="643"/>
    <x v="6"/>
    <x v="1"/>
    <n v="47.9"/>
    <n v="95.8"/>
    <x v="27"/>
    <d v="2025-01-29T00:00:00"/>
    <s v="F"/>
    <x v="0"/>
    <x v="0"/>
    <x v="0"/>
    <x v="6"/>
    <x v="3"/>
    <x v="4"/>
    <x v="2"/>
  </r>
  <r>
    <x v="644"/>
    <x v="6"/>
    <x v="8"/>
    <n v="78.400000000000006"/>
    <n v="627.20000000000005"/>
    <x v="27"/>
    <d v="2025-01-30T00:00:00"/>
    <s v="F"/>
    <x v="1"/>
    <x v="0"/>
    <x v="0"/>
    <x v="6"/>
    <x v="1"/>
    <x v="4"/>
    <x v="2"/>
  </r>
  <r>
    <x v="645"/>
    <x v="2"/>
    <x v="21"/>
    <n v="122.1"/>
    <n v="1709.3999999999999"/>
    <x v="27"/>
    <d v="2025-02-02T00:00:00"/>
    <s v="F"/>
    <x v="0"/>
    <x v="2"/>
    <x v="0"/>
    <x v="6"/>
    <x v="0"/>
    <x v="4"/>
    <x v="2"/>
  </r>
  <r>
    <x v="646"/>
    <x v="2"/>
    <x v="1"/>
    <n v="83.7"/>
    <n v="167.4"/>
    <x v="28"/>
    <d v="2025-01-29T00:00:00"/>
    <s v=""/>
    <x v="1"/>
    <x v="2"/>
    <x v="0"/>
    <x v="7"/>
    <x v="7"/>
    <x v="4"/>
    <x v="0"/>
  </r>
  <r>
    <x v="647"/>
    <x v="3"/>
    <x v="12"/>
    <n v="97.9"/>
    <n v="391.6"/>
    <x v="28"/>
    <d v="2025-02-02T00:00:00"/>
    <s v="F"/>
    <x v="3"/>
    <x v="2"/>
    <x v="0"/>
    <x v="7"/>
    <x v="5"/>
    <x v="4"/>
    <x v="2"/>
  </r>
  <r>
    <x v="648"/>
    <x v="14"/>
    <x v="0"/>
    <n v="15"/>
    <n v="15"/>
    <x v="28"/>
    <d v="2025-02-03T00:00:00"/>
    <s v="F"/>
    <x v="3"/>
    <x v="0"/>
    <x v="0"/>
    <x v="8"/>
    <x v="0"/>
    <x v="4"/>
    <x v="2"/>
  </r>
  <r>
    <x v="649"/>
    <x v="12"/>
    <x v="2"/>
    <n v="94.6"/>
    <n v="283.79999999999995"/>
    <x v="28"/>
    <d v="2025-01-30T00:00:00"/>
    <s v="M"/>
    <x v="2"/>
    <x v="1"/>
    <x v="0"/>
    <x v="8"/>
    <x v="3"/>
    <x v="4"/>
    <x v="1"/>
  </r>
  <r>
    <x v="650"/>
    <x v="0"/>
    <x v="13"/>
    <n v="19.7"/>
    <n v="118.19999999999999"/>
    <x v="28"/>
    <d v="2025-02-09T00:00:00"/>
    <s v="F"/>
    <x v="0"/>
    <x v="2"/>
    <x v="0"/>
    <x v="8"/>
    <x v="11"/>
    <x v="4"/>
    <x v="2"/>
  </r>
  <r>
    <x v="651"/>
    <x v="7"/>
    <x v="0"/>
    <n v="46.7"/>
    <n v="46.7"/>
    <x v="28"/>
    <d v="2025-02-01T00:00:00"/>
    <s v="F"/>
    <x v="2"/>
    <x v="0"/>
    <x v="0"/>
    <x v="17"/>
    <x v="2"/>
    <x v="4"/>
    <x v="2"/>
  </r>
  <r>
    <x v="652"/>
    <x v="1"/>
    <x v="12"/>
    <n v="43"/>
    <n v="172"/>
    <x v="28"/>
    <d v="2025-01-30T00:00:00"/>
    <s v="M"/>
    <x v="2"/>
    <x v="2"/>
    <x v="0"/>
    <x v="17"/>
    <x v="3"/>
    <x v="4"/>
    <x v="1"/>
  </r>
  <r>
    <x v="653"/>
    <x v="6"/>
    <x v="2"/>
    <n v="68.2"/>
    <n v="204.60000000000002"/>
    <x v="28"/>
    <d v="2025-02-04T00:00:00"/>
    <s v="F"/>
    <x v="0"/>
    <x v="0"/>
    <x v="0"/>
    <x v="9"/>
    <x v="4"/>
    <x v="4"/>
    <x v="2"/>
  </r>
  <r>
    <x v="654"/>
    <x v="10"/>
    <x v="7"/>
    <n v="24.3"/>
    <n v="243"/>
    <x v="28"/>
    <d v="2025-01-30T00:00:00"/>
    <s v="M"/>
    <x v="0"/>
    <x v="2"/>
    <x v="0"/>
    <x v="10"/>
    <x v="3"/>
    <x v="4"/>
    <x v="1"/>
  </r>
  <r>
    <x v="655"/>
    <x v="7"/>
    <x v="1"/>
    <n v="86.8"/>
    <n v="173.6"/>
    <x v="28"/>
    <d v="2025-02-02T00:00:00"/>
    <s v="F"/>
    <x v="4"/>
    <x v="2"/>
    <x v="0"/>
    <x v="11"/>
    <x v="5"/>
    <x v="4"/>
    <x v="2"/>
  </r>
  <r>
    <x v="656"/>
    <x v="0"/>
    <x v="1"/>
    <n v="15.8"/>
    <n v="31.6"/>
    <x v="28"/>
    <d v="2025-01-31T00:00:00"/>
    <s v="M"/>
    <x v="1"/>
    <x v="0"/>
    <x v="0"/>
    <x v="11"/>
    <x v="1"/>
    <x v="4"/>
    <x v="1"/>
  </r>
  <r>
    <x v="657"/>
    <x v="2"/>
    <x v="12"/>
    <n v="61.6"/>
    <n v="246.4"/>
    <x v="28"/>
    <d v="2025-01-30T00:00:00"/>
    <s v="M"/>
    <x v="2"/>
    <x v="0"/>
    <x v="0"/>
    <x v="11"/>
    <x v="3"/>
    <x v="4"/>
    <x v="1"/>
  </r>
  <r>
    <x v="658"/>
    <x v="6"/>
    <x v="2"/>
    <n v="48.7"/>
    <n v="146.10000000000002"/>
    <x v="28"/>
    <d v="2025-02-04T00:00:00"/>
    <s v="F"/>
    <x v="1"/>
    <x v="2"/>
    <x v="0"/>
    <x v="45"/>
    <x v="4"/>
    <x v="4"/>
    <x v="2"/>
  </r>
  <r>
    <x v="659"/>
    <x v="8"/>
    <x v="12"/>
    <n v="24.3"/>
    <n v="97.2"/>
    <x v="28"/>
    <d v="2025-01-31T00:00:00"/>
    <s v="F"/>
    <x v="1"/>
    <x v="2"/>
    <x v="0"/>
    <x v="21"/>
    <x v="1"/>
    <x v="4"/>
    <x v="2"/>
  </r>
  <r>
    <x v="660"/>
    <x v="2"/>
    <x v="1"/>
    <n v="130.69999999999999"/>
    <n v="261.39999999999998"/>
    <x v="28"/>
    <d v="2025-01-30T00:00:00"/>
    <s v="F"/>
    <x v="2"/>
    <x v="0"/>
    <x v="0"/>
    <x v="44"/>
    <x v="3"/>
    <x v="4"/>
    <x v="2"/>
  </r>
  <r>
    <x v="661"/>
    <x v="10"/>
    <x v="0"/>
    <n v="26"/>
    <n v="26"/>
    <x v="28"/>
    <d v="2025-01-31T00:00:00"/>
    <s v="M"/>
    <x v="0"/>
    <x v="0"/>
    <x v="0"/>
    <x v="3"/>
    <x v="1"/>
    <x v="4"/>
    <x v="1"/>
  </r>
  <r>
    <x v="662"/>
    <x v="2"/>
    <x v="9"/>
    <n v="94.4"/>
    <n v="472"/>
    <x v="28"/>
    <d v="2025-01-30T00:00:00"/>
    <s v="F"/>
    <x v="0"/>
    <x v="0"/>
    <x v="0"/>
    <x v="3"/>
    <x v="3"/>
    <x v="4"/>
    <x v="2"/>
  </r>
  <r>
    <x v="663"/>
    <x v="0"/>
    <x v="13"/>
    <n v="23.7"/>
    <n v="142.19999999999999"/>
    <x v="28"/>
    <d v="2025-01-31T00:00:00"/>
    <s v="M"/>
    <x v="2"/>
    <x v="2"/>
    <x v="0"/>
    <x v="3"/>
    <x v="1"/>
    <x v="4"/>
    <x v="1"/>
  </r>
  <r>
    <x v="664"/>
    <x v="9"/>
    <x v="4"/>
    <n v="37.4"/>
    <n v="448.79999999999995"/>
    <x v="28"/>
    <d v="2025-01-31T00:00:00"/>
    <s v="M"/>
    <x v="2"/>
    <x v="0"/>
    <x v="0"/>
    <x v="3"/>
    <x v="1"/>
    <x v="4"/>
    <x v="1"/>
  </r>
  <r>
    <x v="665"/>
    <x v="1"/>
    <x v="34"/>
    <n v="55.2"/>
    <n v="1987.2"/>
    <x v="28"/>
    <d v="2025-01-29T00:00:00"/>
    <s v="F"/>
    <x v="3"/>
    <x v="1"/>
    <x v="0"/>
    <x v="3"/>
    <x v="7"/>
    <x v="4"/>
    <x v="2"/>
  </r>
  <r>
    <x v="666"/>
    <x v="2"/>
    <x v="11"/>
    <n v="57.1"/>
    <n v="513.9"/>
    <x v="28"/>
    <d v="2025-01-31T00:00:00"/>
    <s v="M"/>
    <x v="0"/>
    <x v="2"/>
    <x v="0"/>
    <x v="3"/>
    <x v="1"/>
    <x v="4"/>
    <x v="1"/>
  </r>
  <r>
    <x v="667"/>
    <x v="12"/>
    <x v="0"/>
    <n v="55.3"/>
    <n v="55.3"/>
    <x v="28"/>
    <d v="2025-01-30T00:00:00"/>
    <s v="F"/>
    <x v="2"/>
    <x v="2"/>
    <x v="0"/>
    <x v="3"/>
    <x v="3"/>
    <x v="4"/>
    <x v="2"/>
  </r>
  <r>
    <x v="668"/>
    <x v="15"/>
    <x v="3"/>
    <n v="23.9"/>
    <n v="167.29999999999998"/>
    <x v="28"/>
    <d v="2025-01-30T00:00:00"/>
    <s v="F"/>
    <x v="4"/>
    <x v="1"/>
    <x v="0"/>
    <x v="3"/>
    <x v="3"/>
    <x v="4"/>
    <x v="2"/>
  </r>
  <r>
    <x v="669"/>
    <x v="0"/>
    <x v="0"/>
    <n v="34.1"/>
    <n v="34.1"/>
    <x v="28"/>
    <d v="2025-02-05T00:00:00"/>
    <s v="F"/>
    <x v="2"/>
    <x v="0"/>
    <x v="0"/>
    <x v="3"/>
    <x v="6"/>
    <x v="4"/>
    <x v="2"/>
  </r>
  <r>
    <x v="670"/>
    <x v="12"/>
    <x v="12"/>
    <n v="38.5"/>
    <n v="154"/>
    <x v="28"/>
    <d v="2025-02-09T00:00:00"/>
    <s v="F"/>
    <x v="0"/>
    <x v="0"/>
    <x v="0"/>
    <x v="3"/>
    <x v="11"/>
    <x v="4"/>
    <x v="2"/>
  </r>
  <r>
    <x v="671"/>
    <x v="7"/>
    <x v="1"/>
    <n v="105"/>
    <n v="210"/>
    <x v="28"/>
    <d v="2025-02-04T00:00:00"/>
    <s v="F"/>
    <x v="0"/>
    <x v="2"/>
    <x v="0"/>
    <x v="3"/>
    <x v="4"/>
    <x v="4"/>
    <x v="2"/>
  </r>
  <r>
    <x v="672"/>
    <x v="8"/>
    <x v="9"/>
    <n v="45.2"/>
    <n v="226"/>
    <x v="28"/>
    <d v="2025-01-31T00:00:00"/>
    <s v="F"/>
    <x v="0"/>
    <x v="2"/>
    <x v="0"/>
    <x v="3"/>
    <x v="1"/>
    <x v="4"/>
    <x v="2"/>
  </r>
  <r>
    <x v="673"/>
    <x v="17"/>
    <x v="2"/>
    <n v="24.8"/>
    <n v="74.400000000000006"/>
    <x v="28"/>
    <d v="2025-01-29T00:00:00"/>
    <s v=""/>
    <x v="0"/>
    <x v="1"/>
    <x v="0"/>
    <x v="3"/>
    <x v="7"/>
    <x v="4"/>
    <x v="0"/>
  </r>
  <r>
    <x v="674"/>
    <x v="11"/>
    <x v="12"/>
    <n v="43.8"/>
    <n v="175.2"/>
    <x v="28"/>
    <d v="2025-02-05T00:00:00"/>
    <s v="F"/>
    <x v="1"/>
    <x v="2"/>
    <x v="0"/>
    <x v="6"/>
    <x v="6"/>
    <x v="4"/>
    <x v="2"/>
  </r>
  <r>
    <x v="675"/>
    <x v="1"/>
    <x v="0"/>
    <n v="75"/>
    <n v="75"/>
    <x v="28"/>
    <d v="2025-01-31T00:00:00"/>
    <s v="F"/>
    <x v="4"/>
    <x v="1"/>
    <x v="0"/>
    <x v="6"/>
    <x v="1"/>
    <x v="4"/>
    <x v="2"/>
  </r>
  <r>
    <x v="676"/>
    <x v="2"/>
    <x v="0"/>
    <n v="169.9"/>
    <n v="169.9"/>
    <x v="28"/>
    <d v="2025-01-30T00:00:00"/>
    <s v="M"/>
    <x v="2"/>
    <x v="0"/>
    <x v="0"/>
    <x v="6"/>
    <x v="3"/>
    <x v="4"/>
    <x v="1"/>
  </r>
  <r>
    <x v="677"/>
    <x v="9"/>
    <x v="1"/>
    <n v="72.2"/>
    <n v="144.4"/>
    <x v="28"/>
    <d v="2025-01-31T00:00:00"/>
    <s v="F"/>
    <x v="4"/>
    <x v="1"/>
    <x v="0"/>
    <x v="6"/>
    <x v="1"/>
    <x v="4"/>
    <x v="2"/>
  </r>
  <r>
    <x v="678"/>
    <x v="0"/>
    <x v="0"/>
    <n v="20"/>
    <n v="20"/>
    <x v="29"/>
    <d v="2025-02-02T00:00:00"/>
    <s v="F"/>
    <x v="2"/>
    <x v="1"/>
    <x v="0"/>
    <x v="7"/>
    <x v="2"/>
    <x v="4"/>
    <x v="2"/>
  </r>
  <r>
    <x v="679"/>
    <x v="9"/>
    <x v="1"/>
    <n v="40.799999999999997"/>
    <n v="81.599999999999994"/>
    <x v="29"/>
    <d v="2025-02-01T00:00:00"/>
    <s v="F"/>
    <x v="3"/>
    <x v="2"/>
    <x v="0"/>
    <x v="8"/>
    <x v="1"/>
    <x v="4"/>
    <x v="2"/>
  </r>
  <r>
    <x v="680"/>
    <x v="10"/>
    <x v="12"/>
    <n v="58"/>
    <n v="232"/>
    <x v="29"/>
    <d v="2025-02-03T00:00:00"/>
    <s v="F"/>
    <x v="0"/>
    <x v="0"/>
    <x v="0"/>
    <x v="8"/>
    <x v="5"/>
    <x v="4"/>
    <x v="2"/>
  </r>
  <r>
    <x v="681"/>
    <x v="12"/>
    <x v="1"/>
    <n v="43.1"/>
    <n v="86.2"/>
    <x v="29"/>
    <d v="2025-01-31T00:00:00"/>
    <s v="F"/>
    <x v="1"/>
    <x v="2"/>
    <x v="0"/>
    <x v="8"/>
    <x v="3"/>
    <x v="4"/>
    <x v="2"/>
  </r>
  <r>
    <x v="682"/>
    <x v="6"/>
    <x v="11"/>
    <n v="74.7"/>
    <n v="672.30000000000007"/>
    <x v="29"/>
    <d v="2025-02-01T00:00:00"/>
    <s v="M"/>
    <x v="0"/>
    <x v="2"/>
    <x v="0"/>
    <x v="8"/>
    <x v="1"/>
    <x v="4"/>
    <x v="1"/>
  </r>
  <r>
    <x v="683"/>
    <x v="6"/>
    <x v="0"/>
    <n v="128.19999999999999"/>
    <n v="128.19999999999999"/>
    <x v="29"/>
    <d v="2025-01-30T00:00:00"/>
    <s v="M"/>
    <x v="1"/>
    <x v="0"/>
    <x v="0"/>
    <x v="8"/>
    <x v="7"/>
    <x v="4"/>
    <x v="1"/>
  </r>
  <r>
    <x v="684"/>
    <x v="14"/>
    <x v="12"/>
    <n v="26.7"/>
    <n v="106.8"/>
    <x v="29"/>
    <d v="2025-01-31T00:00:00"/>
    <s v="M"/>
    <x v="1"/>
    <x v="0"/>
    <x v="0"/>
    <x v="8"/>
    <x v="3"/>
    <x v="4"/>
    <x v="1"/>
  </r>
  <r>
    <x v="685"/>
    <x v="17"/>
    <x v="13"/>
    <n v="31.5"/>
    <n v="189"/>
    <x v="29"/>
    <d v="2025-01-31T00:00:00"/>
    <s v="F"/>
    <x v="2"/>
    <x v="0"/>
    <x v="0"/>
    <x v="17"/>
    <x v="3"/>
    <x v="4"/>
    <x v="2"/>
  </r>
  <r>
    <x v="686"/>
    <x v="3"/>
    <x v="3"/>
    <n v="64.7"/>
    <n v="452.90000000000003"/>
    <x v="29"/>
    <d v="2025-01-31T00:00:00"/>
    <s v="F"/>
    <x v="0"/>
    <x v="2"/>
    <x v="0"/>
    <x v="9"/>
    <x v="3"/>
    <x v="4"/>
    <x v="2"/>
  </r>
  <r>
    <x v="687"/>
    <x v="5"/>
    <x v="1"/>
    <n v="55.6"/>
    <n v="111.2"/>
    <x v="29"/>
    <d v="2025-02-02T00:00:00"/>
    <s v="F"/>
    <x v="3"/>
    <x v="0"/>
    <x v="0"/>
    <x v="11"/>
    <x v="2"/>
    <x v="4"/>
    <x v="2"/>
  </r>
  <r>
    <x v="688"/>
    <x v="3"/>
    <x v="1"/>
    <n v="36.200000000000003"/>
    <n v="72.400000000000006"/>
    <x v="29"/>
    <d v="2025-01-31T00:00:00"/>
    <s v="F"/>
    <x v="3"/>
    <x v="0"/>
    <x v="0"/>
    <x v="11"/>
    <x v="3"/>
    <x v="4"/>
    <x v="2"/>
  </r>
  <r>
    <x v="689"/>
    <x v="0"/>
    <x v="0"/>
    <n v="26.6"/>
    <n v="26.6"/>
    <x v="29"/>
    <d v="2025-01-31T00:00:00"/>
    <s v=""/>
    <x v="1"/>
    <x v="1"/>
    <x v="0"/>
    <x v="19"/>
    <x v="3"/>
    <x v="4"/>
    <x v="0"/>
  </r>
  <r>
    <x v="690"/>
    <x v="10"/>
    <x v="12"/>
    <n v="31.5"/>
    <n v="126"/>
    <x v="29"/>
    <d v="2025-02-01T00:00:00"/>
    <s v="M"/>
    <x v="0"/>
    <x v="0"/>
    <x v="0"/>
    <x v="31"/>
    <x v="1"/>
    <x v="4"/>
    <x v="1"/>
  </r>
  <r>
    <x v="691"/>
    <x v="10"/>
    <x v="0"/>
    <n v="27"/>
    <n v="27"/>
    <x v="29"/>
    <d v="2025-02-01T00:00:00"/>
    <s v="F"/>
    <x v="1"/>
    <x v="2"/>
    <x v="0"/>
    <x v="13"/>
    <x v="1"/>
    <x v="4"/>
    <x v="2"/>
  </r>
  <r>
    <x v="692"/>
    <x v="4"/>
    <x v="0"/>
    <n v="32"/>
    <n v="32"/>
    <x v="29"/>
    <d v="2025-02-02T00:00:00"/>
    <s v="M"/>
    <x v="3"/>
    <x v="0"/>
    <x v="0"/>
    <x v="21"/>
    <x v="2"/>
    <x v="4"/>
    <x v="1"/>
  </r>
  <r>
    <x v="693"/>
    <x v="1"/>
    <x v="2"/>
    <n v="48.1"/>
    <n v="144.30000000000001"/>
    <x v="29"/>
    <d v="2025-02-01T00:00:00"/>
    <s v="M"/>
    <x v="2"/>
    <x v="1"/>
    <x v="0"/>
    <x v="1"/>
    <x v="1"/>
    <x v="4"/>
    <x v="1"/>
  </r>
  <r>
    <x v="694"/>
    <x v="9"/>
    <x v="1"/>
    <n v="43.4"/>
    <n v="86.8"/>
    <x v="29"/>
    <d v="2025-01-31T00:00:00"/>
    <s v="M"/>
    <x v="1"/>
    <x v="1"/>
    <x v="0"/>
    <x v="22"/>
    <x v="3"/>
    <x v="4"/>
    <x v="1"/>
  </r>
  <r>
    <x v="695"/>
    <x v="6"/>
    <x v="1"/>
    <n v="42.6"/>
    <n v="85.2"/>
    <x v="29"/>
    <d v="2025-02-02T00:00:00"/>
    <s v="F"/>
    <x v="3"/>
    <x v="0"/>
    <x v="0"/>
    <x v="22"/>
    <x v="2"/>
    <x v="4"/>
    <x v="2"/>
  </r>
  <r>
    <x v="696"/>
    <x v="8"/>
    <x v="1"/>
    <n v="15.9"/>
    <n v="31.8"/>
    <x v="29"/>
    <d v="2025-01-31T00:00:00"/>
    <s v="F"/>
    <x v="0"/>
    <x v="0"/>
    <x v="0"/>
    <x v="34"/>
    <x v="3"/>
    <x v="4"/>
    <x v="2"/>
  </r>
  <r>
    <x v="697"/>
    <x v="9"/>
    <x v="1"/>
    <n v="63.2"/>
    <n v="126.4"/>
    <x v="29"/>
    <d v="2025-01-31T00:00:00"/>
    <s v="M"/>
    <x v="1"/>
    <x v="0"/>
    <x v="0"/>
    <x v="3"/>
    <x v="3"/>
    <x v="4"/>
    <x v="1"/>
  </r>
  <r>
    <x v="698"/>
    <x v="7"/>
    <x v="12"/>
    <n v="64.8"/>
    <n v="259.2"/>
    <x v="29"/>
    <d v="2025-02-01T00:00:00"/>
    <s v=""/>
    <x v="4"/>
    <x v="1"/>
    <x v="0"/>
    <x v="3"/>
    <x v="1"/>
    <x v="4"/>
    <x v="0"/>
  </r>
  <r>
    <x v="699"/>
    <x v="7"/>
    <x v="2"/>
    <n v="79.8"/>
    <n v="239.39999999999998"/>
    <x v="29"/>
    <d v="2025-01-31T00:00:00"/>
    <s v="M"/>
    <x v="0"/>
    <x v="0"/>
    <x v="0"/>
    <x v="3"/>
    <x v="3"/>
    <x v="4"/>
    <x v="1"/>
  </r>
  <r>
    <x v="700"/>
    <x v="9"/>
    <x v="0"/>
    <n v="54.4"/>
    <n v="54.4"/>
    <x v="29"/>
    <d v="2025-02-01T00:00:00"/>
    <s v="F"/>
    <x v="4"/>
    <x v="2"/>
    <x v="0"/>
    <x v="3"/>
    <x v="1"/>
    <x v="4"/>
    <x v="2"/>
  </r>
  <r>
    <x v="701"/>
    <x v="6"/>
    <x v="0"/>
    <n v="87.3"/>
    <n v="87.3"/>
    <x v="29"/>
    <d v="2025-01-31T00:00:00"/>
    <s v="M"/>
    <x v="1"/>
    <x v="0"/>
    <x v="0"/>
    <x v="3"/>
    <x v="3"/>
    <x v="4"/>
    <x v="1"/>
  </r>
  <r>
    <x v="702"/>
    <x v="8"/>
    <x v="12"/>
    <n v="32.4"/>
    <n v="129.6"/>
    <x v="29"/>
    <d v="2025-01-30T00:00:00"/>
    <s v="M"/>
    <x v="1"/>
    <x v="0"/>
    <x v="0"/>
    <x v="3"/>
    <x v="7"/>
    <x v="4"/>
    <x v="1"/>
  </r>
  <r>
    <x v="703"/>
    <x v="2"/>
    <x v="0"/>
    <n v="177.4"/>
    <n v="177.4"/>
    <x v="29"/>
    <d v="2025-02-03T00:00:00"/>
    <s v="M"/>
    <x v="0"/>
    <x v="2"/>
    <x v="0"/>
    <x v="3"/>
    <x v="5"/>
    <x v="4"/>
    <x v="1"/>
  </r>
  <r>
    <x v="704"/>
    <x v="7"/>
    <x v="1"/>
    <n v="70.099999999999994"/>
    <n v="140.19999999999999"/>
    <x v="29"/>
    <d v="2025-01-31T00:00:00"/>
    <s v="M"/>
    <x v="3"/>
    <x v="1"/>
    <x v="0"/>
    <x v="3"/>
    <x v="3"/>
    <x v="4"/>
    <x v="1"/>
  </r>
  <r>
    <x v="705"/>
    <x v="9"/>
    <x v="13"/>
    <n v="51.1"/>
    <n v="306.60000000000002"/>
    <x v="29"/>
    <d v="2025-01-31T00:00:00"/>
    <s v="F"/>
    <x v="0"/>
    <x v="0"/>
    <x v="0"/>
    <x v="3"/>
    <x v="3"/>
    <x v="4"/>
    <x v="2"/>
  </r>
  <r>
    <x v="706"/>
    <x v="2"/>
    <x v="9"/>
    <n v="79.900000000000006"/>
    <n v="399.5"/>
    <x v="29"/>
    <d v="2025-02-01T00:00:00"/>
    <s v="M"/>
    <x v="3"/>
    <x v="2"/>
    <x v="0"/>
    <x v="24"/>
    <x v="1"/>
    <x v="4"/>
    <x v="1"/>
  </r>
  <r>
    <x v="707"/>
    <x v="6"/>
    <x v="0"/>
    <n v="57.6"/>
    <n v="57.6"/>
    <x v="30"/>
    <d v="2025-02-05T00:00:00"/>
    <s v="M"/>
    <x v="0"/>
    <x v="2"/>
    <x v="0"/>
    <x v="49"/>
    <x v="0"/>
    <x v="4"/>
    <x v="1"/>
  </r>
  <r>
    <x v="708"/>
    <x v="8"/>
    <x v="7"/>
    <n v="59.7"/>
    <n v="597"/>
    <x v="30"/>
    <d v="2025-02-04T00:00:00"/>
    <s v="M"/>
    <x v="2"/>
    <x v="0"/>
    <x v="0"/>
    <x v="25"/>
    <x v="5"/>
    <x v="4"/>
    <x v="1"/>
  </r>
  <r>
    <x v="709"/>
    <x v="8"/>
    <x v="9"/>
    <n v="30"/>
    <n v="150"/>
    <x v="30"/>
    <d v="2025-02-02T00:00:00"/>
    <s v="M"/>
    <x v="1"/>
    <x v="0"/>
    <x v="0"/>
    <x v="6"/>
    <x v="1"/>
    <x v="4"/>
    <x v="1"/>
  </r>
  <r>
    <x v="710"/>
    <x v="10"/>
    <x v="1"/>
    <n v="69.2"/>
    <n v="138.4"/>
    <x v="30"/>
    <d v="2025-02-02T00:00:00"/>
    <s v=""/>
    <x v="2"/>
    <x v="1"/>
    <x v="0"/>
    <x v="6"/>
    <x v="1"/>
    <x v="4"/>
    <x v="0"/>
  </r>
  <r>
    <x v="711"/>
    <x v="0"/>
    <x v="8"/>
    <n v="10.9"/>
    <n v="87.2"/>
    <x v="30"/>
    <d v="2025-02-01T00:00:00"/>
    <s v="F"/>
    <x v="0"/>
    <x v="2"/>
    <x v="0"/>
    <x v="6"/>
    <x v="3"/>
    <x v="4"/>
    <x v="2"/>
  </r>
  <r>
    <x v="712"/>
    <x v="16"/>
    <x v="1"/>
    <n v="48.6"/>
    <n v="97.2"/>
    <x v="30"/>
    <d v="2025-02-04T00:00:00"/>
    <s v="M"/>
    <x v="1"/>
    <x v="2"/>
    <x v="0"/>
    <x v="6"/>
    <x v="5"/>
    <x v="4"/>
    <x v="1"/>
  </r>
  <r>
    <x v="713"/>
    <x v="2"/>
    <x v="1"/>
    <n v="61.1"/>
    <n v="122.2"/>
    <x v="30"/>
    <d v="2025-02-03T00:00:00"/>
    <s v="F"/>
    <x v="1"/>
    <x v="2"/>
    <x v="0"/>
    <x v="7"/>
    <x v="2"/>
    <x v="4"/>
    <x v="2"/>
  </r>
  <r>
    <x v="714"/>
    <x v="8"/>
    <x v="1"/>
    <n v="23.2"/>
    <n v="46.4"/>
    <x v="30"/>
    <d v="2025-02-01T00:00:00"/>
    <s v="M"/>
    <x v="3"/>
    <x v="2"/>
    <x v="0"/>
    <x v="8"/>
    <x v="3"/>
    <x v="4"/>
    <x v="1"/>
  </r>
  <r>
    <x v="715"/>
    <x v="12"/>
    <x v="12"/>
    <n v="55.8"/>
    <n v="223.2"/>
    <x v="30"/>
    <d v="2025-02-01T00:00:00"/>
    <s v="M"/>
    <x v="0"/>
    <x v="0"/>
    <x v="0"/>
    <x v="8"/>
    <x v="3"/>
    <x v="4"/>
    <x v="1"/>
  </r>
  <r>
    <x v="716"/>
    <x v="9"/>
    <x v="12"/>
    <n v="24.8"/>
    <n v="99.2"/>
    <x v="30"/>
    <d v="2025-02-01T00:00:00"/>
    <s v="F"/>
    <x v="0"/>
    <x v="2"/>
    <x v="0"/>
    <x v="8"/>
    <x v="3"/>
    <x v="4"/>
    <x v="2"/>
  </r>
  <r>
    <x v="717"/>
    <x v="10"/>
    <x v="1"/>
    <n v="27.9"/>
    <n v="55.8"/>
    <x v="30"/>
    <d v="2025-01-31T00:00:00"/>
    <s v="M"/>
    <x v="2"/>
    <x v="2"/>
    <x v="0"/>
    <x v="8"/>
    <x v="7"/>
    <x v="4"/>
    <x v="1"/>
  </r>
  <r>
    <x v="718"/>
    <x v="10"/>
    <x v="13"/>
    <n v="51.1"/>
    <n v="306.60000000000002"/>
    <x v="30"/>
    <d v="2025-01-31T00:00:00"/>
    <s v="F"/>
    <x v="3"/>
    <x v="0"/>
    <x v="0"/>
    <x v="8"/>
    <x v="7"/>
    <x v="4"/>
    <x v="2"/>
  </r>
  <r>
    <x v="719"/>
    <x v="17"/>
    <x v="5"/>
    <n v="32.700000000000003"/>
    <n v="359.70000000000005"/>
    <x v="30"/>
    <d v="2025-02-01T00:00:00"/>
    <s v="M"/>
    <x v="4"/>
    <x v="2"/>
    <x v="0"/>
    <x v="17"/>
    <x v="3"/>
    <x v="4"/>
    <x v="1"/>
  </r>
  <r>
    <x v="720"/>
    <x v="8"/>
    <x v="12"/>
    <n v="22.5"/>
    <n v="90"/>
    <x v="30"/>
    <d v="2025-01-31T00:00:00"/>
    <s v="M"/>
    <x v="0"/>
    <x v="2"/>
    <x v="0"/>
    <x v="26"/>
    <x v="7"/>
    <x v="4"/>
    <x v="1"/>
  </r>
  <r>
    <x v="721"/>
    <x v="0"/>
    <x v="3"/>
    <n v="14.6"/>
    <n v="102.2"/>
    <x v="30"/>
    <d v="2025-02-01T00:00:00"/>
    <s v="F"/>
    <x v="2"/>
    <x v="0"/>
    <x v="0"/>
    <x v="41"/>
    <x v="3"/>
    <x v="4"/>
    <x v="2"/>
  </r>
  <r>
    <x v="722"/>
    <x v="5"/>
    <x v="2"/>
    <n v="32.5"/>
    <n v="97.5"/>
    <x v="30"/>
    <d v="2025-02-03T00:00:00"/>
    <s v="M"/>
    <x v="0"/>
    <x v="0"/>
    <x v="0"/>
    <x v="10"/>
    <x v="2"/>
    <x v="4"/>
    <x v="1"/>
  </r>
  <r>
    <x v="723"/>
    <x v="18"/>
    <x v="0"/>
    <n v="78.099999999999994"/>
    <n v="78.099999999999994"/>
    <x v="30"/>
    <d v="2025-02-03T00:00:00"/>
    <s v="M"/>
    <x v="0"/>
    <x v="2"/>
    <x v="0"/>
    <x v="11"/>
    <x v="2"/>
    <x v="4"/>
    <x v="1"/>
  </r>
  <r>
    <x v="724"/>
    <x v="12"/>
    <x v="13"/>
    <n v="110.2"/>
    <n v="661.2"/>
    <x v="30"/>
    <d v="2025-01-31T00:00:00"/>
    <s v="M"/>
    <x v="1"/>
    <x v="4"/>
    <x v="0"/>
    <x v="13"/>
    <x v="7"/>
    <x v="4"/>
    <x v="1"/>
  </r>
  <r>
    <x v="725"/>
    <x v="6"/>
    <x v="2"/>
    <n v="86.3"/>
    <n v="258.89999999999998"/>
    <x v="30"/>
    <d v="2025-02-02T00:00:00"/>
    <s v="F"/>
    <x v="3"/>
    <x v="0"/>
    <x v="0"/>
    <x v="21"/>
    <x v="1"/>
    <x v="4"/>
    <x v="2"/>
  </r>
  <r>
    <x v="726"/>
    <x v="1"/>
    <x v="13"/>
    <n v="73.599999999999994"/>
    <n v="441.59999999999997"/>
    <x v="30"/>
    <d v="2025-02-02T00:00:00"/>
    <s v="O"/>
    <x v="3"/>
    <x v="4"/>
    <x v="0"/>
    <x v="44"/>
    <x v="1"/>
    <x v="4"/>
    <x v="3"/>
  </r>
  <r>
    <x v="727"/>
    <x v="6"/>
    <x v="15"/>
    <n v="67.7"/>
    <n v="880.1"/>
    <x v="30"/>
    <d v="2025-02-02T00:00:00"/>
    <s v="F"/>
    <x v="0"/>
    <x v="2"/>
    <x v="0"/>
    <x v="3"/>
    <x v="1"/>
    <x v="4"/>
    <x v="2"/>
  </r>
  <r>
    <x v="728"/>
    <x v="7"/>
    <x v="13"/>
    <n v="142.19999999999999"/>
    <n v="853.19999999999993"/>
    <x v="30"/>
    <d v="2025-02-01T00:00:00"/>
    <s v="F"/>
    <x v="2"/>
    <x v="4"/>
    <x v="0"/>
    <x v="3"/>
    <x v="3"/>
    <x v="4"/>
    <x v="2"/>
  </r>
  <r>
    <x v="729"/>
    <x v="1"/>
    <x v="11"/>
    <n v="45.8"/>
    <n v="412.2"/>
    <x v="30"/>
    <d v="2025-02-02T00:00:00"/>
    <s v="F"/>
    <x v="1"/>
    <x v="2"/>
    <x v="0"/>
    <x v="3"/>
    <x v="1"/>
    <x v="4"/>
    <x v="2"/>
  </r>
  <r>
    <x v="730"/>
    <x v="10"/>
    <x v="1"/>
    <n v="24.2"/>
    <n v="48.4"/>
    <x v="31"/>
    <d v="2025-02-04T00:00:00"/>
    <s v="F"/>
    <x v="3"/>
    <x v="2"/>
    <x v="0"/>
    <x v="3"/>
    <x v="2"/>
    <x v="4"/>
    <x v="2"/>
  </r>
  <r>
    <x v="731"/>
    <x v="2"/>
    <x v="2"/>
    <n v="144.9"/>
    <n v="434.70000000000005"/>
    <x v="31"/>
    <d v="2025-02-02T00:00:00"/>
    <s v="O"/>
    <x v="2"/>
    <x v="2"/>
    <x v="0"/>
    <x v="3"/>
    <x v="3"/>
    <x v="4"/>
    <x v="3"/>
  </r>
  <r>
    <x v="732"/>
    <x v="11"/>
    <x v="9"/>
    <n v="32.799999999999997"/>
    <n v="164"/>
    <x v="31"/>
    <d v="2025-02-04T00:00:00"/>
    <s v="F"/>
    <x v="2"/>
    <x v="0"/>
    <x v="0"/>
    <x v="23"/>
    <x v="2"/>
    <x v="4"/>
    <x v="2"/>
  </r>
  <r>
    <x v="733"/>
    <x v="7"/>
    <x v="7"/>
    <n v="35.700000000000003"/>
    <n v="357"/>
    <x v="31"/>
    <d v="2025-02-01T00:00:00"/>
    <s v="F"/>
    <x v="0"/>
    <x v="1"/>
    <x v="0"/>
    <x v="6"/>
    <x v="7"/>
    <x v="4"/>
    <x v="2"/>
  </r>
  <r>
    <x v="734"/>
    <x v="9"/>
    <x v="1"/>
    <n v="54.6"/>
    <n v="109.2"/>
    <x v="31"/>
    <d v="2025-02-02T00:00:00"/>
    <s v="F"/>
    <x v="2"/>
    <x v="0"/>
    <x v="0"/>
    <x v="6"/>
    <x v="3"/>
    <x v="4"/>
    <x v="2"/>
  </r>
  <r>
    <x v="735"/>
    <x v="8"/>
    <x v="1"/>
    <n v="35.700000000000003"/>
    <n v="71.400000000000006"/>
    <x v="31"/>
    <d v="2025-02-04T00:00:00"/>
    <s v=""/>
    <x v="0"/>
    <x v="1"/>
    <x v="0"/>
    <x v="6"/>
    <x v="2"/>
    <x v="4"/>
    <x v="0"/>
  </r>
  <r>
    <x v="736"/>
    <x v="10"/>
    <x v="1"/>
    <n v="52.4"/>
    <n v="104.8"/>
    <x v="31"/>
    <d v="2025-02-01T00:00:00"/>
    <s v="F"/>
    <x v="0"/>
    <x v="3"/>
    <x v="0"/>
    <x v="6"/>
    <x v="7"/>
    <x v="4"/>
    <x v="2"/>
  </r>
  <r>
    <x v="737"/>
    <x v="8"/>
    <x v="21"/>
    <n v="16.2"/>
    <n v="226.79999999999998"/>
    <x v="31"/>
    <d v="2025-02-02T00:00:00"/>
    <s v=""/>
    <x v="0"/>
    <x v="1"/>
    <x v="0"/>
    <x v="8"/>
    <x v="3"/>
    <x v="4"/>
    <x v="0"/>
  </r>
  <r>
    <x v="738"/>
    <x v="6"/>
    <x v="35"/>
    <n v="42.8"/>
    <n v="2011.6"/>
    <x v="31"/>
    <d v="2025-02-02T00:00:00"/>
    <s v="F"/>
    <x v="0"/>
    <x v="0"/>
    <x v="0"/>
    <x v="8"/>
    <x v="3"/>
    <x v="4"/>
    <x v="2"/>
  </r>
  <r>
    <x v="739"/>
    <x v="6"/>
    <x v="11"/>
    <n v="144.4"/>
    <n v="1299.6000000000001"/>
    <x v="31"/>
    <d v="2025-02-04T00:00:00"/>
    <s v="F"/>
    <x v="4"/>
    <x v="0"/>
    <x v="0"/>
    <x v="8"/>
    <x v="2"/>
    <x v="4"/>
    <x v="2"/>
  </r>
  <r>
    <x v="740"/>
    <x v="3"/>
    <x v="34"/>
    <n v="30.6"/>
    <n v="1101.6000000000001"/>
    <x v="31"/>
    <d v="2025-02-05T00:00:00"/>
    <s v="F"/>
    <x v="2"/>
    <x v="2"/>
    <x v="0"/>
    <x v="11"/>
    <x v="5"/>
    <x v="4"/>
    <x v="2"/>
  </r>
  <r>
    <x v="741"/>
    <x v="2"/>
    <x v="1"/>
    <n v="117.5"/>
    <n v="235"/>
    <x v="31"/>
    <d v="2025-02-02T00:00:00"/>
    <s v="M"/>
    <x v="0"/>
    <x v="0"/>
    <x v="0"/>
    <x v="19"/>
    <x v="3"/>
    <x v="4"/>
    <x v="1"/>
  </r>
  <r>
    <x v="742"/>
    <x v="6"/>
    <x v="1"/>
    <n v="105.7"/>
    <n v="211.4"/>
    <x v="31"/>
    <d v="2025-02-02T00:00:00"/>
    <s v="F"/>
    <x v="2"/>
    <x v="2"/>
    <x v="0"/>
    <x v="21"/>
    <x v="3"/>
    <x v="4"/>
    <x v="2"/>
  </r>
  <r>
    <x v="743"/>
    <x v="3"/>
    <x v="2"/>
    <n v="133.69999999999999"/>
    <n v="401.09999999999997"/>
    <x v="31"/>
    <d v="2025-02-02T00:00:00"/>
    <s v=""/>
    <x v="4"/>
    <x v="2"/>
    <x v="0"/>
    <x v="21"/>
    <x v="3"/>
    <x v="4"/>
    <x v="0"/>
  </r>
  <r>
    <x v="744"/>
    <x v="4"/>
    <x v="9"/>
    <n v="46.8"/>
    <n v="234"/>
    <x v="32"/>
    <d v="2025-02-10T00:00:00"/>
    <s v="F"/>
    <x v="0"/>
    <x v="1"/>
    <x v="0"/>
    <x v="21"/>
    <x v="9"/>
    <x v="5"/>
    <x v="2"/>
  </r>
  <r>
    <x v="745"/>
    <x v="10"/>
    <x v="2"/>
    <n v="58.4"/>
    <n v="175.2"/>
    <x v="32"/>
    <d v="2025-02-04T00:00:00"/>
    <s v="F"/>
    <x v="0"/>
    <x v="0"/>
    <x v="0"/>
    <x v="1"/>
    <x v="1"/>
    <x v="5"/>
    <x v="2"/>
  </r>
  <r>
    <x v="746"/>
    <x v="6"/>
    <x v="11"/>
    <n v="65.099999999999994"/>
    <n v="585.9"/>
    <x v="32"/>
    <d v="2025-02-06T00:00:00"/>
    <s v="M"/>
    <x v="1"/>
    <x v="2"/>
    <x v="0"/>
    <x v="22"/>
    <x v="5"/>
    <x v="5"/>
    <x v="1"/>
  </r>
  <r>
    <x v="747"/>
    <x v="8"/>
    <x v="0"/>
    <n v="18.600000000000001"/>
    <n v="18.600000000000001"/>
    <x v="32"/>
    <d v="2025-02-05T00:00:00"/>
    <s v="F"/>
    <x v="0"/>
    <x v="4"/>
    <x v="0"/>
    <x v="22"/>
    <x v="2"/>
    <x v="5"/>
    <x v="2"/>
  </r>
  <r>
    <x v="748"/>
    <x v="1"/>
    <x v="5"/>
    <n v="92.3"/>
    <n v="1015.3"/>
    <x v="32"/>
    <d v="2025-02-04T00:00:00"/>
    <s v="M"/>
    <x v="1"/>
    <x v="0"/>
    <x v="0"/>
    <x v="3"/>
    <x v="1"/>
    <x v="5"/>
    <x v="1"/>
  </r>
  <r>
    <x v="749"/>
    <x v="6"/>
    <x v="2"/>
    <n v="81.7"/>
    <n v="245.10000000000002"/>
    <x v="32"/>
    <d v="2025-02-03T00:00:00"/>
    <s v=""/>
    <x v="4"/>
    <x v="4"/>
    <x v="0"/>
    <x v="3"/>
    <x v="3"/>
    <x v="5"/>
    <x v="0"/>
  </r>
  <r>
    <x v="750"/>
    <x v="8"/>
    <x v="1"/>
    <n v="40.9"/>
    <n v="81.8"/>
    <x v="32"/>
    <d v="2025-02-04T00:00:00"/>
    <s v="M"/>
    <x v="0"/>
    <x v="1"/>
    <x v="0"/>
    <x v="3"/>
    <x v="1"/>
    <x v="5"/>
    <x v="1"/>
  </r>
  <r>
    <x v="751"/>
    <x v="6"/>
    <x v="12"/>
    <n v="43.2"/>
    <n v="172.8"/>
    <x v="32"/>
    <d v="2025-02-08T00:00:00"/>
    <s v="F"/>
    <x v="0"/>
    <x v="1"/>
    <x v="0"/>
    <x v="3"/>
    <x v="4"/>
    <x v="5"/>
    <x v="2"/>
  </r>
  <r>
    <x v="752"/>
    <x v="8"/>
    <x v="5"/>
    <n v="25.8"/>
    <n v="283.8"/>
    <x v="32"/>
    <d v="2025-02-05T00:00:00"/>
    <s v="M"/>
    <x v="2"/>
    <x v="1"/>
    <x v="0"/>
    <x v="3"/>
    <x v="2"/>
    <x v="5"/>
    <x v="1"/>
  </r>
  <r>
    <x v="753"/>
    <x v="15"/>
    <x v="12"/>
    <n v="36.4"/>
    <n v="145.6"/>
    <x v="32"/>
    <d v="2025-02-03T00:00:00"/>
    <s v="M"/>
    <x v="0"/>
    <x v="0"/>
    <x v="0"/>
    <x v="3"/>
    <x v="3"/>
    <x v="5"/>
    <x v="1"/>
  </r>
  <r>
    <x v="754"/>
    <x v="10"/>
    <x v="0"/>
    <n v="59.1"/>
    <n v="59.1"/>
    <x v="32"/>
    <d v="2025-02-03T00:00:00"/>
    <s v="F"/>
    <x v="2"/>
    <x v="0"/>
    <x v="0"/>
    <x v="7"/>
    <x v="3"/>
    <x v="5"/>
    <x v="2"/>
  </r>
  <r>
    <x v="755"/>
    <x v="2"/>
    <x v="14"/>
    <n v="74.5"/>
    <n v="1266.5"/>
    <x v="32"/>
    <d v="2025-02-04T00:00:00"/>
    <s v="M"/>
    <x v="4"/>
    <x v="0"/>
    <x v="0"/>
    <x v="18"/>
    <x v="1"/>
    <x v="5"/>
    <x v="1"/>
  </r>
  <r>
    <x v="756"/>
    <x v="5"/>
    <x v="0"/>
    <n v="72.8"/>
    <n v="72.8"/>
    <x v="32"/>
    <d v="2025-02-03T00:00:00"/>
    <s v="F"/>
    <x v="0"/>
    <x v="1"/>
    <x v="0"/>
    <x v="19"/>
    <x v="3"/>
    <x v="5"/>
    <x v="2"/>
  </r>
  <r>
    <x v="757"/>
    <x v="6"/>
    <x v="12"/>
    <n v="137.30000000000001"/>
    <n v="549.20000000000005"/>
    <x v="32"/>
    <d v="2025-02-05T00:00:00"/>
    <s v="F"/>
    <x v="0"/>
    <x v="0"/>
    <x v="0"/>
    <x v="13"/>
    <x v="2"/>
    <x v="5"/>
    <x v="2"/>
  </r>
  <r>
    <x v="758"/>
    <x v="1"/>
    <x v="2"/>
    <n v="48.7"/>
    <n v="146.10000000000002"/>
    <x v="32"/>
    <d v="2025-02-07T00:00:00"/>
    <s v="F"/>
    <x v="0"/>
    <x v="1"/>
    <x v="0"/>
    <x v="21"/>
    <x v="0"/>
    <x v="5"/>
    <x v="2"/>
  </r>
  <r>
    <x v="759"/>
    <x v="6"/>
    <x v="12"/>
    <n v="53.7"/>
    <n v="214.8"/>
    <x v="32"/>
    <d v="2025-02-06T00:00:00"/>
    <s v="M"/>
    <x v="1"/>
    <x v="4"/>
    <x v="0"/>
    <x v="2"/>
    <x v="5"/>
    <x v="5"/>
    <x v="1"/>
  </r>
  <r>
    <x v="760"/>
    <x v="2"/>
    <x v="3"/>
    <n v="100.9"/>
    <n v="706.30000000000007"/>
    <x v="32"/>
    <d v="2025-02-04T00:00:00"/>
    <s v="F"/>
    <x v="0"/>
    <x v="1"/>
    <x v="0"/>
    <x v="2"/>
    <x v="1"/>
    <x v="5"/>
    <x v="2"/>
  </r>
  <r>
    <x v="761"/>
    <x v="10"/>
    <x v="1"/>
    <n v="41.8"/>
    <n v="83.6"/>
    <x v="32"/>
    <d v="2025-02-06T00:00:00"/>
    <s v="M"/>
    <x v="3"/>
    <x v="2"/>
    <x v="0"/>
    <x v="22"/>
    <x v="5"/>
    <x v="5"/>
    <x v="1"/>
  </r>
  <r>
    <x v="762"/>
    <x v="4"/>
    <x v="8"/>
    <n v="28.5"/>
    <n v="228"/>
    <x v="32"/>
    <d v="2025-02-04T00:00:00"/>
    <s v="M"/>
    <x v="2"/>
    <x v="1"/>
    <x v="0"/>
    <x v="3"/>
    <x v="1"/>
    <x v="5"/>
    <x v="1"/>
  </r>
  <r>
    <x v="763"/>
    <x v="7"/>
    <x v="12"/>
    <n v="88.9"/>
    <n v="355.6"/>
    <x v="32"/>
    <d v="2025-02-05T00:00:00"/>
    <s v="F"/>
    <x v="0"/>
    <x v="2"/>
    <x v="0"/>
    <x v="3"/>
    <x v="2"/>
    <x v="5"/>
    <x v="2"/>
  </r>
  <r>
    <x v="764"/>
    <x v="6"/>
    <x v="0"/>
    <n v="62.5"/>
    <n v="62.5"/>
    <x v="32"/>
    <d v="2025-02-11T00:00:00"/>
    <s v="F"/>
    <x v="0"/>
    <x v="2"/>
    <x v="0"/>
    <x v="3"/>
    <x v="8"/>
    <x v="5"/>
    <x v="2"/>
  </r>
  <r>
    <x v="765"/>
    <x v="1"/>
    <x v="2"/>
    <n v="46.9"/>
    <n v="140.69999999999999"/>
    <x v="32"/>
    <d v="2025-02-03T00:00:00"/>
    <s v="M"/>
    <x v="0"/>
    <x v="2"/>
    <x v="0"/>
    <x v="3"/>
    <x v="3"/>
    <x v="5"/>
    <x v="1"/>
  </r>
  <r>
    <x v="766"/>
    <x v="8"/>
    <x v="2"/>
    <n v="45"/>
    <n v="135"/>
    <x v="32"/>
    <d v="2025-02-16T00:00:00"/>
    <s v="M"/>
    <x v="1"/>
    <x v="0"/>
    <x v="0"/>
    <x v="3"/>
    <x v="12"/>
    <x v="5"/>
    <x v="1"/>
  </r>
  <r>
    <x v="767"/>
    <x v="6"/>
    <x v="2"/>
    <n v="45.2"/>
    <n v="135.60000000000002"/>
    <x v="32"/>
    <d v="2025-02-04T00:00:00"/>
    <s v="M"/>
    <x v="4"/>
    <x v="2"/>
    <x v="0"/>
    <x v="3"/>
    <x v="1"/>
    <x v="5"/>
    <x v="1"/>
  </r>
  <r>
    <x v="768"/>
    <x v="4"/>
    <x v="1"/>
    <n v="60.1"/>
    <n v="120.2"/>
    <x v="32"/>
    <d v="2025-02-03T00:00:00"/>
    <s v="F"/>
    <x v="0"/>
    <x v="2"/>
    <x v="0"/>
    <x v="3"/>
    <x v="3"/>
    <x v="5"/>
    <x v="2"/>
  </r>
  <r>
    <x v="769"/>
    <x v="12"/>
    <x v="12"/>
    <n v="118.7"/>
    <n v="474.8"/>
    <x v="32"/>
    <d v="2025-02-04T00:00:00"/>
    <s v="F"/>
    <x v="0"/>
    <x v="0"/>
    <x v="0"/>
    <x v="3"/>
    <x v="1"/>
    <x v="5"/>
    <x v="2"/>
  </r>
  <r>
    <x v="770"/>
    <x v="9"/>
    <x v="0"/>
    <n v="57.8"/>
    <n v="57.8"/>
    <x v="32"/>
    <d v="2025-02-11T00:00:00"/>
    <s v="F"/>
    <x v="1"/>
    <x v="0"/>
    <x v="0"/>
    <x v="3"/>
    <x v="8"/>
    <x v="5"/>
    <x v="2"/>
  </r>
  <r>
    <x v="771"/>
    <x v="4"/>
    <x v="0"/>
    <n v="19.5"/>
    <n v="19.5"/>
    <x v="32"/>
    <d v="2025-02-03T00:00:00"/>
    <s v="M"/>
    <x v="1"/>
    <x v="1"/>
    <x v="0"/>
    <x v="3"/>
    <x v="3"/>
    <x v="5"/>
    <x v="1"/>
  </r>
  <r>
    <x v="772"/>
    <x v="12"/>
    <x v="0"/>
    <n v="42.6"/>
    <n v="42.6"/>
    <x v="32"/>
    <d v="2025-02-03T00:00:00"/>
    <s v="M"/>
    <x v="0"/>
    <x v="1"/>
    <x v="0"/>
    <x v="3"/>
    <x v="3"/>
    <x v="5"/>
    <x v="1"/>
  </r>
  <r>
    <x v="773"/>
    <x v="6"/>
    <x v="1"/>
    <n v="74.8"/>
    <n v="149.6"/>
    <x v="32"/>
    <d v="2025-02-03T00:00:00"/>
    <s v="F"/>
    <x v="3"/>
    <x v="2"/>
    <x v="0"/>
    <x v="37"/>
    <x v="3"/>
    <x v="5"/>
    <x v="2"/>
  </r>
  <r>
    <x v="774"/>
    <x v="8"/>
    <x v="2"/>
    <n v="32.5"/>
    <n v="97.5"/>
    <x v="32"/>
    <d v="2025-02-03T00:00:00"/>
    <s v="M"/>
    <x v="2"/>
    <x v="4"/>
    <x v="0"/>
    <x v="16"/>
    <x v="3"/>
    <x v="5"/>
    <x v="1"/>
  </r>
  <r>
    <x v="775"/>
    <x v="2"/>
    <x v="2"/>
    <n v="60.5"/>
    <n v="181.5"/>
    <x v="32"/>
    <d v="2025-02-02T00:00:00"/>
    <s v="F"/>
    <x v="1"/>
    <x v="2"/>
    <x v="0"/>
    <x v="25"/>
    <x v="7"/>
    <x v="5"/>
    <x v="2"/>
  </r>
  <r>
    <x v="776"/>
    <x v="1"/>
    <x v="3"/>
    <n v="57.2"/>
    <n v="400.40000000000003"/>
    <x v="32"/>
    <d v="2025-02-04T00:00:00"/>
    <s v=""/>
    <x v="2"/>
    <x v="0"/>
    <x v="0"/>
    <x v="25"/>
    <x v="1"/>
    <x v="5"/>
    <x v="0"/>
  </r>
  <r>
    <x v="777"/>
    <x v="16"/>
    <x v="1"/>
    <n v="112"/>
    <n v="224"/>
    <x v="32"/>
    <d v="2025-02-03T00:00:00"/>
    <s v="F"/>
    <x v="1"/>
    <x v="1"/>
    <x v="0"/>
    <x v="5"/>
    <x v="3"/>
    <x v="5"/>
    <x v="2"/>
  </r>
  <r>
    <x v="778"/>
    <x v="7"/>
    <x v="7"/>
    <n v="49"/>
    <n v="490"/>
    <x v="32"/>
    <d v="2025-02-03T00:00:00"/>
    <s v="O"/>
    <x v="2"/>
    <x v="1"/>
    <x v="0"/>
    <x v="6"/>
    <x v="3"/>
    <x v="5"/>
    <x v="3"/>
  </r>
  <r>
    <x v="779"/>
    <x v="0"/>
    <x v="1"/>
    <n v="33.700000000000003"/>
    <n v="67.400000000000006"/>
    <x v="32"/>
    <d v="2025-02-06T00:00:00"/>
    <s v="F"/>
    <x v="3"/>
    <x v="0"/>
    <x v="0"/>
    <x v="6"/>
    <x v="5"/>
    <x v="5"/>
    <x v="2"/>
  </r>
  <r>
    <x v="780"/>
    <x v="4"/>
    <x v="2"/>
    <n v="35.6"/>
    <n v="106.80000000000001"/>
    <x v="32"/>
    <d v="2025-02-05T00:00:00"/>
    <s v="F"/>
    <x v="0"/>
    <x v="2"/>
    <x v="0"/>
    <x v="6"/>
    <x v="2"/>
    <x v="5"/>
    <x v="2"/>
  </r>
  <r>
    <x v="781"/>
    <x v="4"/>
    <x v="36"/>
    <n v="30.4"/>
    <n v="1064"/>
    <x v="33"/>
    <d v="2025-02-03T00:00:00"/>
    <s v="F"/>
    <x v="0"/>
    <x v="1"/>
    <x v="0"/>
    <x v="7"/>
    <x v="7"/>
    <x v="5"/>
    <x v="2"/>
  </r>
  <r>
    <x v="782"/>
    <x v="10"/>
    <x v="4"/>
    <n v="50.2"/>
    <n v="602.40000000000009"/>
    <x v="33"/>
    <d v="2025-02-04T00:00:00"/>
    <s v="M"/>
    <x v="4"/>
    <x v="0"/>
    <x v="0"/>
    <x v="8"/>
    <x v="3"/>
    <x v="5"/>
    <x v="1"/>
  </r>
  <r>
    <x v="783"/>
    <x v="1"/>
    <x v="1"/>
    <n v="43.7"/>
    <n v="87.4"/>
    <x v="33"/>
    <d v="2025-02-05T00:00:00"/>
    <s v="F"/>
    <x v="0"/>
    <x v="0"/>
    <x v="0"/>
    <x v="8"/>
    <x v="1"/>
    <x v="5"/>
    <x v="2"/>
  </r>
  <r>
    <x v="784"/>
    <x v="10"/>
    <x v="0"/>
    <n v="33.299999999999997"/>
    <n v="33.299999999999997"/>
    <x v="33"/>
    <d v="2025-02-04T00:00:00"/>
    <s v="F"/>
    <x v="2"/>
    <x v="1"/>
    <x v="0"/>
    <x v="8"/>
    <x v="3"/>
    <x v="5"/>
    <x v="2"/>
  </r>
  <r>
    <x v="785"/>
    <x v="8"/>
    <x v="12"/>
    <n v="15.1"/>
    <n v="60.4"/>
    <x v="33"/>
    <d v="2025-02-05T00:00:00"/>
    <s v="F"/>
    <x v="4"/>
    <x v="2"/>
    <x v="0"/>
    <x v="8"/>
    <x v="1"/>
    <x v="5"/>
    <x v="2"/>
  </r>
  <r>
    <x v="786"/>
    <x v="6"/>
    <x v="9"/>
    <n v="118.2"/>
    <n v="591"/>
    <x v="33"/>
    <d v="2025-02-04T00:00:00"/>
    <s v="F"/>
    <x v="3"/>
    <x v="4"/>
    <x v="0"/>
    <x v="8"/>
    <x v="3"/>
    <x v="5"/>
    <x v="2"/>
  </r>
  <r>
    <x v="787"/>
    <x v="10"/>
    <x v="2"/>
    <n v="28.9"/>
    <n v="86.699999999999989"/>
    <x v="33"/>
    <d v="2025-02-05T00:00:00"/>
    <s v="F"/>
    <x v="2"/>
    <x v="1"/>
    <x v="0"/>
    <x v="8"/>
    <x v="1"/>
    <x v="5"/>
    <x v="2"/>
  </r>
  <r>
    <x v="788"/>
    <x v="4"/>
    <x v="2"/>
    <n v="55.6"/>
    <n v="166.8"/>
    <x v="33"/>
    <d v="2025-02-04T00:00:00"/>
    <s v="M"/>
    <x v="0"/>
    <x v="1"/>
    <x v="0"/>
    <x v="8"/>
    <x v="3"/>
    <x v="5"/>
    <x v="1"/>
  </r>
  <r>
    <x v="789"/>
    <x v="9"/>
    <x v="12"/>
    <n v="25.6"/>
    <n v="102.4"/>
    <x v="33"/>
    <d v="2025-02-05T00:00:00"/>
    <s v="F"/>
    <x v="0"/>
    <x v="1"/>
    <x v="0"/>
    <x v="8"/>
    <x v="1"/>
    <x v="5"/>
    <x v="2"/>
  </r>
  <r>
    <x v="790"/>
    <x v="7"/>
    <x v="2"/>
    <n v="31.3"/>
    <n v="93.9"/>
    <x v="33"/>
    <d v="2025-02-04T00:00:00"/>
    <s v="M"/>
    <x v="0"/>
    <x v="0"/>
    <x v="0"/>
    <x v="17"/>
    <x v="3"/>
    <x v="5"/>
    <x v="1"/>
  </r>
  <r>
    <x v="791"/>
    <x v="0"/>
    <x v="2"/>
    <n v="22.1"/>
    <n v="66.300000000000011"/>
    <x v="33"/>
    <d v="2025-02-07T00:00:00"/>
    <s v="M"/>
    <x v="0"/>
    <x v="0"/>
    <x v="0"/>
    <x v="17"/>
    <x v="5"/>
    <x v="5"/>
    <x v="1"/>
  </r>
  <r>
    <x v="792"/>
    <x v="2"/>
    <x v="21"/>
    <n v="99.4"/>
    <n v="1391.6000000000001"/>
    <x v="33"/>
    <d v="2025-02-04T00:00:00"/>
    <s v="M"/>
    <x v="1"/>
    <x v="0"/>
    <x v="0"/>
    <x v="11"/>
    <x v="3"/>
    <x v="5"/>
    <x v="1"/>
  </r>
  <r>
    <x v="793"/>
    <x v="7"/>
    <x v="13"/>
    <n v="66.599999999999994"/>
    <n v="399.59999999999997"/>
    <x v="33"/>
    <d v="2025-02-04T00:00:00"/>
    <s v="F"/>
    <x v="0"/>
    <x v="0"/>
    <x v="0"/>
    <x v="11"/>
    <x v="3"/>
    <x v="5"/>
    <x v="2"/>
  </r>
  <r>
    <x v="794"/>
    <x v="8"/>
    <x v="1"/>
    <n v="22.6"/>
    <n v="45.2"/>
    <x v="33"/>
    <d v="2025-02-06T00:00:00"/>
    <s v="M"/>
    <x v="0"/>
    <x v="0"/>
    <x v="0"/>
    <x v="11"/>
    <x v="2"/>
    <x v="5"/>
    <x v="1"/>
  </r>
  <r>
    <x v="795"/>
    <x v="2"/>
    <x v="16"/>
    <n v="66.8"/>
    <n v="1202.3999999999999"/>
    <x v="33"/>
    <d v="2025-02-04T00:00:00"/>
    <s v="F"/>
    <x v="0"/>
    <x v="4"/>
    <x v="0"/>
    <x v="13"/>
    <x v="3"/>
    <x v="5"/>
    <x v="2"/>
  </r>
  <r>
    <x v="796"/>
    <x v="0"/>
    <x v="12"/>
    <n v="20.8"/>
    <n v="83.2"/>
    <x v="33"/>
    <d v="2025-02-10T00:00:00"/>
    <s v="M"/>
    <x v="1"/>
    <x v="4"/>
    <x v="0"/>
    <x v="1"/>
    <x v="6"/>
    <x v="5"/>
    <x v="1"/>
  </r>
  <r>
    <x v="797"/>
    <x v="2"/>
    <x v="3"/>
    <n v="102.5"/>
    <n v="717.5"/>
    <x v="33"/>
    <d v="2025-02-04T00:00:00"/>
    <s v="F"/>
    <x v="4"/>
    <x v="2"/>
    <x v="0"/>
    <x v="3"/>
    <x v="3"/>
    <x v="5"/>
    <x v="2"/>
  </r>
  <r>
    <x v="798"/>
    <x v="0"/>
    <x v="16"/>
    <n v="24.8"/>
    <n v="446.40000000000003"/>
    <x v="33"/>
    <d v="2025-02-07T00:00:00"/>
    <s v="F"/>
    <x v="0"/>
    <x v="0"/>
    <x v="0"/>
    <x v="3"/>
    <x v="5"/>
    <x v="5"/>
    <x v="2"/>
  </r>
  <r>
    <x v="799"/>
    <x v="4"/>
    <x v="37"/>
    <n v="31.4"/>
    <n v="973.4"/>
    <x v="33"/>
    <d v="2025-02-04T00:00:00"/>
    <s v="F"/>
    <x v="3"/>
    <x v="0"/>
    <x v="0"/>
    <x v="3"/>
    <x v="3"/>
    <x v="5"/>
    <x v="2"/>
  </r>
  <r>
    <x v="800"/>
    <x v="9"/>
    <x v="9"/>
    <n v="59.3"/>
    <n v="296.5"/>
    <x v="33"/>
    <d v="2025-02-06T00:00:00"/>
    <s v="M"/>
    <x v="1"/>
    <x v="2"/>
    <x v="0"/>
    <x v="43"/>
    <x v="2"/>
    <x v="5"/>
    <x v="1"/>
  </r>
  <r>
    <x v="801"/>
    <x v="11"/>
    <x v="13"/>
    <n v="39"/>
    <n v="234"/>
    <x v="33"/>
    <d v="2025-02-06T00:00:00"/>
    <s v="M"/>
    <x v="1"/>
    <x v="0"/>
    <x v="0"/>
    <x v="6"/>
    <x v="2"/>
    <x v="5"/>
    <x v="1"/>
  </r>
  <r>
    <x v="802"/>
    <x v="5"/>
    <x v="13"/>
    <n v="98.6"/>
    <n v="591.59999999999991"/>
    <x v="33"/>
    <d v="2025-02-05T00:00:00"/>
    <s v="F"/>
    <x v="1"/>
    <x v="0"/>
    <x v="0"/>
    <x v="6"/>
    <x v="1"/>
    <x v="5"/>
    <x v="2"/>
  </r>
  <r>
    <x v="803"/>
    <x v="8"/>
    <x v="0"/>
    <n v="20"/>
    <n v="20"/>
    <x v="34"/>
    <d v="2025-02-05T00:00:00"/>
    <s v="M"/>
    <x v="3"/>
    <x v="2"/>
    <x v="0"/>
    <x v="8"/>
    <x v="3"/>
    <x v="5"/>
    <x v="1"/>
  </r>
  <r>
    <x v="804"/>
    <x v="1"/>
    <x v="1"/>
    <n v="42.9"/>
    <n v="85.8"/>
    <x v="34"/>
    <d v="2025-02-06T00:00:00"/>
    <s v="F"/>
    <x v="0"/>
    <x v="2"/>
    <x v="0"/>
    <x v="8"/>
    <x v="1"/>
    <x v="5"/>
    <x v="2"/>
  </r>
  <r>
    <x v="805"/>
    <x v="7"/>
    <x v="3"/>
    <n v="55.6"/>
    <n v="389.2"/>
    <x v="34"/>
    <d v="2025-02-06T00:00:00"/>
    <s v="F"/>
    <x v="2"/>
    <x v="1"/>
    <x v="0"/>
    <x v="8"/>
    <x v="1"/>
    <x v="5"/>
    <x v="2"/>
  </r>
  <r>
    <x v="806"/>
    <x v="8"/>
    <x v="12"/>
    <n v="19.2"/>
    <n v="76.8"/>
    <x v="34"/>
    <d v="2025-02-09T00:00:00"/>
    <s v="F"/>
    <x v="0"/>
    <x v="0"/>
    <x v="0"/>
    <x v="41"/>
    <x v="0"/>
    <x v="5"/>
    <x v="2"/>
  </r>
  <r>
    <x v="807"/>
    <x v="5"/>
    <x v="1"/>
    <n v="28.8"/>
    <n v="57.6"/>
    <x v="34"/>
    <d v="2025-02-06T00:00:00"/>
    <s v="M"/>
    <x v="1"/>
    <x v="0"/>
    <x v="0"/>
    <x v="18"/>
    <x v="1"/>
    <x v="5"/>
    <x v="1"/>
  </r>
  <r>
    <x v="808"/>
    <x v="4"/>
    <x v="0"/>
    <n v="29.7"/>
    <n v="29.7"/>
    <x v="34"/>
    <d v="2025-02-06T00:00:00"/>
    <s v="F"/>
    <x v="2"/>
    <x v="4"/>
    <x v="0"/>
    <x v="20"/>
    <x v="1"/>
    <x v="5"/>
    <x v="2"/>
  </r>
  <r>
    <x v="809"/>
    <x v="6"/>
    <x v="13"/>
    <n v="63.3"/>
    <n v="379.79999999999995"/>
    <x v="34"/>
    <d v="2025-02-05T00:00:00"/>
    <s v=""/>
    <x v="0"/>
    <x v="2"/>
    <x v="0"/>
    <x v="21"/>
    <x v="3"/>
    <x v="5"/>
    <x v="0"/>
  </r>
  <r>
    <x v="810"/>
    <x v="4"/>
    <x v="0"/>
    <n v="46"/>
    <n v="46"/>
    <x v="34"/>
    <d v="2025-02-05T00:00:00"/>
    <s v="F"/>
    <x v="0"/>
    <x v="2"/>
    <x v="0"/>
    <x v="21"/>
    <x v="3"/>
    <x v="5"/>
    <x v="2"/>
  </r>
  <r>
    <x v="811"/>
    <x v="11"/>
    <x v="2"/>
    <n v="38"/>
    <n v="114"/>
    <x v="34"/>
    <d v="2025-02-06T00:00:00"/>
    <s v="F"/>
    <x v="1"/>
    <x v="2"/>
    <x v="0"/>
    <x v="21"/>
    <x v="1"/>
    <x v="5"/>
    <x v="2"/>
  </r>
  <r>
    <x v="812"/>
    <x v="10"/>
    <x v="15"/>
    <n v="34.6"/>
    <n v="449.8"/>
    <x v="34"/>
    <d v="2025-02-06T00:00:00"/>
    <s v="F"/>
    <x v="0"/>
    <x v="1"/>
    <x v="0"/>
    <x v="21"/>
    <x v="1"/>
    <x v="5"/>
    <x v="2"/>
  </r>
  <r>
    <x v="813"/>
    <x v="3"/>
    <x v="7"/>
    <n v="79.7"/>
    <n v="797"/>
    <x v="34"/>
    <d v="2025-02-05T00:00:00"/>
    <s v="F"/>
    <x v="4"/>
    <x v="1"/>
    <x v="0"/>
    <x v="21"/>
    <x v="3"/>
    <x v="5"/>
    <x v="2"/>
  </r>
  <r>
    <x v="814"/>
    <x v="8"/>
    <x v="8"/>
    <n v="30.5"/>
    <n v="244"/>
    <x v="34"/>
    <d v="2025-02-08T00:00:00"/>
    <s v="M"/>
    <x v="3"/>
    <x v="0"/>
    <x v="0"/>
    <x v="1"/>
    <x v="5"/>
    <x v="5"/>
    <x v="1"/>
  </r>
  <r>
    <x v="815"/>
    <x v="0"/>
    <x v="1"/>
    <n v="20.8"/>
    <n v="41.6"/>
    <x v="34"/>
    <d v="2025-02-05T00:00:00"/>
    <s v="F"/>
    <x v="0"/>
    <x v="0"/>
    <x v="0"/>
    <x v="2"/>
    <x v="3"/>
    <x v="5"/>
    <x v="2"/>
  </r>
  <r>
    <x v="816"/>
    <x v="11"/>
    <x v="3"/>
    <n v="48.5"/>
    <n v="339.5"/>
    <x v="34"/>
    <d v="2025-02-08T00:00:00"/>
    <s v="F"/>
    <x v="2"/>
    <x v="2"/>
    <x v="0"/>
    <x v="2"/>
    <x v="5"/>
    <x v="5"/>
    <x v="2"/>
  </r>
  <r>
    <x v="817"/>
    <x v="2"/>
    <x v="12"/>
    <n v="61.8"/>
    <n v="247.2"/>
    <x v="34"/>
    <d v="2025-02-08T00:00:00"/>
    <s v="F"/>
    <x v="4"/>
    <x v="0"/>
    <x v="0"/>
    <x v="22"/>
    <x v="5"/>
    <x v="5"/>
    <x v="2"/>
  </r>
  <r>
    <x v="818"/>
    <x v="10"/>
    <x v="0"/>
    <n v="46.1"/>
    <n v="46.1"/>
    <x v="34"/>
    <d v="2025-02-05T00:00:00"/>
    <s v="O"/>
    <x v="2"/>
    <x v="0"/>
    <x v="0"/>
    <x v="3"/>
    <x v="3"/>
    <x v="5"/>
    <x v="3"/>
  </r>
  <r>
    <x v="819"/>
    <x v="4"/>
    <x v="13"/>
    <n v="44"/>
    <n v="264"/>
    <x v="34"/>
    <d v="2025-02-05T00:00:00"/>
    <s v="F"/>
    <x v="0"/>
    <x v="0"/>
    <x v="0"/>
    <x v="3"/>
    <x v="3"/>
    <x v="5"/>
    <x v="2"/>
  </r>
  <r>
    <x v="820"/>
    <x v="18"/>
    <x v="1"/>
    <n v="95.7"/>
    <n v="191.4"/>
    <x v="34"/>
    <d v="2025-02-10T00:00:00"/>
    <s v="F"/>
    <x v="3"/>
    <x v="2"/>
    <x v="0"/>
    <x v="3"/>
    <x v="4"/>
    <x v="5"/>
    <x v="2"/>
  </r>
  <r>
    <x v="821"/>
    <x v="7"/>
    <x v="9"/>
    <n v="46.4"/>
    <n v="232"/>
    <x v="34"/>
    <d v="2025-02-07T00:00:00"/>
    <s v="F"/>
    <x v="0"/>
    <x v="0"/>
    <x v="0"/>
    <x v="3"/>
    <x v="2"/>
    <x v="5"/>
    <x v="2"/>
  </r>
  <r>
    <x v="822"/>
    <x v="6"/>
    <x v="1"/>
    <n v="47.2"/>
    <n v="94.4"/>
    <x v="34"/>
    <d v="2025-02-06T00:00:00"/>
    <s v="F"/>
    <x v="0"/>
    <x v="2"/>
    <x v="0"/>
    <x v="3"/>
    <x v="1"/>
    <x v="5"/>
    <x v="2"/>
  </r>
  <r>
    <x v="823"/>
    <x v="7"/>
    <x v="1"/>
    <n v="58.6"/>
    <n v="117.2"/>
    <x v="34"/>
    <d v="2025-02-05T00:00:00"/>
    <s v="F"/>
    <x v="2"/>
    <x v="1"/>
    <x v="0"/>
    <x v="3"/>
    <x v="3"/>
    <x v="5"/>
    <x v="2"/>
  </r>
  <r>
    <x v="824"/>
    <x v="4"/>
    <x v="2"/>
    <n v="57"/>
    <n v="171"/>
    <x v="34"/>
    <d v="2025-02-05T00:00:00"/>
    <s v="M"/>
    <x v="0"/>
    <x v="2"/>
    <x v="0"/>
    <x v="3"/>
    <x v="3"/>
    <x v="5"/>
    <x v="1"/>
  </r>
  <r>
    <x v="825"/>
    <x v="8"/>
    <x v="12"/>
    <n v="28.9"/>
    <n v="115.6"/>
    <x v="34"/>
    <d v="2025-02-08T00:00:00"/>
    <s v="M"/>
    <x v="2"/>
    <x v="0"/>
    <x v="0"/>
    <x v="3"/>
    <x v="5"/>
    <x v="5"/>
    <x v="1"/>
  </r>
  <r>
    <x v="826"/>
    <x v="12"/>
    <x v="9"/>
    <n v="60.7"/>
    <n v="303.5"/>
    <x v="34"/>
    <d v="2025-02-08T00:00:00"/>
    <s v=""/>
    <x v="1"/>
    <x v="1"/>
    <x v="0"/>
    <x v="3"/>
    <x v="5"/>
    <x v="5"/>
    <x v="0"/>
  </r>
  <r>
    <x v="827"/>
    <x v="6"/>
    <x v="9"/>
    <n v="60.8"/>
    <n v="304"/>
    <x v="34"/>
    <d v="2025-02-08T00:00:00"/>
    <s v="M"/>
    <x v="0"/>
    <x v="1"/>
    <x v="0"/>
    <x v="3"/>
    <x v="5"/>
    <x v="5"/>
    <x v="1"/>
  </r>
  <r>
    <x v="828"/>
    <x v="6"/>
    <x v="9"/>
    <n v="64.599999999999994"/>
    <n v="323"/>
    <x v="34"/>
    <d v="2025-02-05T00:00:00"/>
    <s v="F"/>
    <x v="3"/>
    <x v="0"/>
    <x v="0"/>
    <x v="3"/>
    <x v="3"/>
    <x v="5"/>
    <x v="2"/>
  </r>
  <r>
    <x v="829"/>
    <x v="8"/>
    <x v="0"/>
    <n v="21.9"/>
    <n v="21.9"/>
    <x v="34"/>
    <d v="2025-02-07T00:00:00"/>
    <s v="M"/>
    <x v="1"/>
    <x v="2"/>
    <x v="0"/>
    <x v="4"/>
    <x v="2"/>
    <x v="5"/>
    <x v="1"/>
  </r>
  <r>
    <x v="830"/>
    <x v="4"/>
    <x v="4"/>
    <n v="33.4"/>
    <n v="400.79999999999995"/>
    <x v="34"/>
    <d v="2025-02-06T00:00:00"/>
    <s v="F"/>
    <x v="0"/>
    <x v="0"/>
    <x v="0"/>
    <x v="23"/>
    <x v="1"/>
    <x v="5"/>
    <x v="2"/>
  </r>
  <r>
    <x v="831"/>
    <x v="2"/>
    <x v="0"/>
    <n v="51.7"/>
    <n v="51.7"/>
    <x v="34"/>
    <d v="2025-02-05T00:00:00"/>
    <s v=""/>
    <x v="0"/>
    <x v="0"/>
    <x v="0"/>
    <x v="6"/>
    <x v="3"/>
    <x v="5"/>
    <x v="0"/>
  </r>
  <r>
    <x v="832"/>
    <x v="1"/>
    <x v="12"/>
    <n v="84.9"/>
    <n v="339.6"/>
    <x v="34"/>
    <d v="2025-02-05T00:00:00"/>
    <s v="F"/>
    <x v="1"/>
    <x v="1"/>
    <x v="0"/>
    <x v="6"/>
    <x v="3"/>
    <x v="5"/>
    <x v="2"/>
  </r>
  <r>
    <x v="833"/>
    <x v="1"/>
    <x v="5"/>
    <n v="62.3"/>
    <n v="685.3"/>
    <x v="34"/>
    <d v="2025-02-05T00:00:00"/>
    <s v="F"/>
    <x v="2"/>
    <x v="2"/>
    <x v="0"/>
    <x v="7"/>
    <x v="3"/>
    <x v="5"/>
    <x v="2"/>
  </r>
  <r>
    <x v="834"/>
    <x v="4"/>
    <x v="0"/>
    <n v="50.7"/>
    <n v="50.7"/>
    <x v="34"/>
    <d v="2025-02-06T00:00:00"/>
    <s v="M"/>
    <x v="2"/>
    <x v="2"/>
    <x v="0"/>
    <x v="8"/>
    <x v="1"/>
    <x v="5"/>
    <x v="1"/>
  </r>
  <r>
    <x v="835"/>
    <x v="18"/>
    <x v="0"/>
    <n v="39.5"/>
    <n v="39.5"/>
    <x v="34"/>
    <d v="2025-02-05T00:00:00"/>
    <s v="M"/>
    <x v="4"/>
    <x v="1"/>
    <x v="0"/>
    <x v="8"/>
    <x v="3"/>
    <x v="5"/>
    <x v="1"/>
  </r>
  <r>
    <x v="836"/>
    <x v="12"/>
    <x v="2"/>
    <n v="30.9"/>
    <n v="92.699999999999989"/>
    <x v="34"/>
    <d v="2025-02-05T00:00:00"/>
    <s v=""/>
    <x v="4"/>
    <x v="2"/>
    <x v="0"/>
    <x v="8"/>
    <x v="3"/>
    <x v="5"/>
    <x v="0"/>
  </r>
  <r>
    <x v="837"/>
    <x v="1"/>
    <x v="3"/>
    <n v="36.4"/>
    <n v="254.79999999999998"/>
    <x v="34"/>
    <d v="2025-02-07T00:00:00"/>
    <s v="F"/>
    <x v="0"/>
    <x v="2"/>
    <x v="0"/>
    <x v="8"/>
    <x v="2"/>
    <x v="5"/>
    <x v="2"/>
  </r>
  <r>
    <x v="838"/>
    <x v="6"/>
    <x v="8"/>
    <n v="105.6"/>
    <n v="844.8"/>
    <x v="34"/>
    <d v="2025-02-14T00:00:00"/>
    <s v="F"/>
    <x v="0"/>
    <x v="0"/>
    <x v="0"/>
    <x v="8"/>
    <x v="14"/>
    <x v="5"/>
    <x v="2"/>
  </r>
  <r>
    <x v="839"/>
    <x v="8"/>
    <x v="1"/>
    <n v="22.1"/>
    <n v="44.2"/>
    <x v="34"/>
    <d v="2025-02-05T00:00:00"/>
    <s v="F"/>
    <x v="0"/>
    <x v="2"/>
    <x v="0"/>
    <x v="17"/>
    <x v="3"/>
    <x v="5"/>
    <x v="2"/>
  </r>
  <r>
    <x v="840"/>
    <x v="0"/>
    <x v="2"/>
    <n v="22.6"/>
    <n v="67.800000000000011"/>
    <x v="34"/>
    <d v="2025-02-05T00:00:00"/>
    <s v="F"/>
    <x v="2"/>
    <x v="0"/>
    <x v="0"/>
    <x v="17"/>
    <x v="3"/>
    <x v="5"/>
    <x v="2"/>
  </r>
  <r>
    <x v="841"/>
    <x v="10"/>
    <x v="13"/>
    <n v="26.3"/>
    <n v="157.80000000000001"/>
    <x v="34"/>
    <d v="2025-02-04T00:00:00"/>
    <s v="F"/>
    <x v="2"/>
    <x v="0"/>
    <x v="0"/>
    <x v="9"/>
    <x v="7"/>
    <x v="5"/>
    <x v="2"/>
  </r>
  <r>
    <x v="842"/>
    <x v="1"/>
    <x v="12"/>
    <n v="37.799999999999997"/>
    <n v="151.19999999999999"/>
    <x v="34"/>
    <d v="2025-02-05T00:00:00"/>
    <s v="F"/>
    <x v="0"/>
    <x v="2"/>
    <x v="0"/>
    <x v="11"/>
    <x v="3"/>
    <x v="5"/>
    <x v="2"/>
  </r>
  <r>
    <x v="843"/>
    <x v="6"/>
    <x v="14"/>
    <n v="96"/>
    <n v="1632"/>
    <x v="34"/>
    <d v="2025-02-07T00:00:00"/>
    <s v="F"/>
    <x v="4"/>
    <x v="1"/>
    <x v="0"/>
    <x v="18"/>
    <x v="2"/>
    <x v="5"/>
    <x v="2"/>
  </r>
  <r>
    <x v="844"/>
    <x v="1"/>
    <x v="0"/>
    <n v="83.6"/>
    <n v="83.6"/>
    <x v="34"/>
    <d v="2025-02-07T00:00:00"/>
    <s v="F"/>
    <x v="2"/>
    <x v="1"/>
    <x v="0"/>
    <x v="19"/>
    <x v="2"/>
    <x v="5"/>
    <x v="2"/>
  </r>
  <r>
    <x v="845"/>
    <x v="2"/>
    <x v="13"/>
    <n v="72.599999999999994"/>
    <n v="435.59999999999997"/>
    <x v="34"/>
    <d v="2025-02-05T00:00:00"/>
    <s v="F"/>
    <x v="0"/>
    <x v="0"/>
    <x v="0"/>
    <x v="21"/>
    <x v="3"/>
    <x v="5"/>
    <x v="2"/>
  </r>
  <r>
    <x v="846"/>
    <x v="5"/>
    <x v="28"/>
    <n v="69.099999999999994"/>
    <n v="1382"/>
    <x v="35"/>
    <d v="2025-02-11T00:00:00"/>
    <s v="M"/>
    <x v="0"/>
    <x v="2"/>
    <x v="0"/>
    <x v="21"/>
    <x v="4"/>
    <x v="5"/>
    <x v="1"/>
  </r>
  <r>
    <x v="847"/>
    <x v="4"/>
    <x v="1"/>
    <n v="22.6"/>
    <n v="45.2"/>
    <x v="35"/>
    <d v="2025-02-07T00:00:00"/>
    <s v="F"/>
    <x v="1"/>
    <x v="2"/>
    <x v="0"/>
    <x v="21"/>
    <x v="1"/>
    <x v="5"/>
    <x v="2"/>
  </r>
  <r>
    <x v="848"/>
    <x v="6"/>
    <x v="1"/>
    <n v="45.3"/>
    <n v="90.6"/>
    <x v="35"/>
    <d v="2025-02-09T00:00:00"/>
    <s v="M"/>
    <x v="4"/>
    <x v="2"/>
    <x v="0"/>
    <x v="21"/>
    <x v="5"/>
    <x v="5"/>
    <x v="1"/>
  </r>
  <r>
    <x v="849"/>
    <x v="2"/>
    <x v="1"/>
    <n v="115.1"/>
    <n v="230.2"/>
    <x v="35"/>
    <d v="2025-02-06T00:00:00"/>
    <s v="F"/>
    <x v="1"/>
    <x v="0"/>
    <x v="0"/>
    <x v="1"/>
    <x v="3"/>
    <x v="5"/>
    <x v="2"/>
  </r>
  <r>
    <x v="850"/>
    <x v="18"/>
    <x v="12"/>
    <n v="79"/>
    <n v="316"/>
    <x v="35"/>
    <d v="2025-02-07T00:00:00"/>
    <s v="M"/>
    <x v="2"/>
    <x v="4"/>
    <x v="0"/>
    <x v="1"/>
    <x v="1"/>
    <x v="5"/>
    <x v="1"/>
  </r>
  <r>
    <x v="851"/>
    <x v="6"/>
    <x v="9"/>
    <n v="52.8"/>
    <n v="264"/>
    <x v="35"/>
    <d v="2025-02-06T00:00:00"/>
    <s v="F"/>
    <x v="0"/>
    <x v="0"/>
    <x v="0"/>
    <x v="42"/>
    <x v="3"/>
    <x v="5"/>
    <x v="2"/>
  </r>
  <r>
    <x v="852"/>
    <x v="8"/>
    <x v="1"/>
    <n v="34.1"/>
    <n v="68.2"/>
    <x v="35"/>
    <d v="2025-02-06T00:00:00"/>
    <s v="M"/>
    <x v="3"/>
    <x v="2"/>
    <x v="0"/>
    <x v="44"/>
    <x v="3"/>
    <x v="5"/>
    <x v="1"/>
  </r>
  <r>
    <x v="853"/>
    <x v="6"/>
    <x v="9"/>
    <n v="107.9"/>
    <n v="539.5"/>
    <x v="35"/>
    <d v="2025-02-05T00:00:00"/>
    <s v="F"/>
    <x v="0"/>
    <x v="2"/>
    <x v="0"/>
    <x v="50"/>
    <x v="7"/>
    <x v="5"/>
    <x v="2"/>
  </r>
  <r>
    <x v="854"/>
    <x v="8"/>
    <x v="15"/>
    <n v="48.5"/>
    <n v="630.5"/>
    <x v="35"/>
    <d v="2025-02-05T00:00:00"/>
    <s v="M"/>
    <x v="2"/>
    <x v="2"/>
    <x v="0"/>
    <x v="3"/>
    <x v="7"/>
    <x v="5"/>
    <x v="1"/>
  </r>
  <r>
    <x v="855"/>
    <x v="5"/>
    <x v="2"/>
    <n v="34.700000000000003"/>
    <n v="104.10000000000001"/>
    <x v="35"/>
    <d v="2025-02-06T00:00:00"/>
    <s v=""/>
    <x v="4"/>
    <x v="1"/>
    <x v="0"/>
    <x v="3"/>
    <x v="3"/>
    <x v="5"/>
    <x v="0"/>
  </r>
  <r>
    <x v="856"/>
    <x v="8"/>
    <x v="0"/>
    <n v="16.8"/>
    <n v="16.8"/>
    <x v="35"/>
    <d v="2025-02-07T00:00:00"/>
    <s v="F"/>
    <x v="3"/>
    <x v="0"/>
    <x v="0"/>
    <x v="3"/>
    <x v="1"/>
    <x v="5"/>
    <x v="2"/>
  </r>
  <r>
    <x v="857"/>
    <x v="8"/>
    <x v="13"/>
    <n v="18.3"/>
    <n v="109.80000000000001"/>
    <x v="35"/>
    <d v="2025-02-08T00:00:00"/>
    <s v="F"/>
    <x v="0"/>
    <x v="0"/>
    <x v="0"/>
    <x v="3"/>
    <x v="2"/>
    <x v="5"/>
    <x v="2"/>
  </r>
  <r>
    <x v="858"/>
    <x v="18"/>
    <x v="2"/>
    <n v="55.9"/>
    <n v="167.7"/>
    <x v="35"/>
    <d v="2025-02-11T00:00:00"/>
    <s v="M"/>
    <x v="3"/>
    <x v="1"/>
    <x v="0"/>
    <x v="3"/>
    <x v="4"/>
    <x v="5"/>
    <x v="1"/>
  </r>
  <r>
    <x v="859"/>
    <x v="8"/>
    <x v="2"/>
    <n v="39.200000000000003"/>
    <n v="117.60000000000001"/>
    <x v="35"/>
    <d v="2025-02-07T00:00:00"/>
    <s v="F"/>
    <x v="0"/>
    <x v="1"/>
    <x v="0"/>
    <x v="3"/>
    <x v="1"/>
    <x v="5"/>
    <x v="2"/>
  </r>
  <r>
    <x v="860"/>
    <x v="15"/>
    <x v="12"/>
    <n v="66.5"/>
    <n v="266"/>
    <x v="35"/>
    <d v="2025-02-07T00:00:00"/>
    <s v=""/>
    <x v="3"/>
    <x v="1"/>
    <x v="0"/>
    <x v="3"/>
    <x v="1"/>
    <x v="5"/>
    <x v="0"/>
  </r>
  <r>
    <x v="861"/>
    <x v="6"/>
    <x v="13"/>
    <n v="52.1"/>
    <n v="312.60000000000002"/>
    <x v="35"/>
    <d v="2025-02-07T00:00:00"/>
    <s v="M"/>
    <x v="1"/>
    <x v="1"/>
    <x v="0"/>
    <x v="16"/>
    <x v="1"/>
    <x v="5"/>
    <x v="1"/>
  </r>
  <r>
    <x v="862"/>
    <x v="8"/>
    <x v="1"/>
    <n v="19"/>
    <n v="38"/>
    <x v="35"/>
    <d v="2025-02-06T00:00:00"/>
    <s v="M"/>
    <x v="4"/>
    <x v="2"/>
    <x v="0"/>
    <x v="6"/>
    <x v="3"/>
    <x v="5"/>
    <x v="1"/>
  </r>
  <r>
    <x v="863"/>
    <x v="7"/>
    <x v="2"/>
    <n v="84.8"/>
    <n v="254.39999999999998"/>
    <x v="35"/>
    <d v="2025-02-07T00:00:00"/>
    <s v="F"/>
    <x v="2"/>
    <x v="0"/>
    <x v="0"/>
    <x v="8"/>
    <x v="1"/>
    <x v="5"/>
    <x v="2"/>
  </r>
  <r>
    <x v="864"/>
    <x v="2"/>
    <x v="12"/>
    <n v="63.9"/>
    <n v="255.6"/>
    <x v="35"/>
    <d v="2025-02-08T00:00:00"/>
    <s v="F"/>
    <x v="0"/>
    <x v="0"/>
    <x v="0"/>
    <x v="8"/>
    <x v="2"/>
    <x v="5"/>
    <x v="2"/>
  </r>
  <r>
    <x v="865"/>
    <x v="2"/>
    <x v="2"/>
    <n v="65.5"/>
    <n v="196.5"/>
    <x v="35"/>
    <d v="2025-02-05T00:00:00"/>
    <s v="F"/>
    <x v="1"/>
    <x v="1"/>
    <x v="0"/>
    <x v="8"/>
    <x v="7"/>
    <x v="5"/>
    <x v="2"/>
  </r>
  <r>
    <x v="866"/>
    <x v="12"/>
    <x v="1"/>
    <n v="116.2"/>
    <n v="232.4"/>
    <x v="35"/>
    <d v="2025-02-11T00:00:00"/>
    <s v="M"/>
    <x v="3"/>
    <x v="0"/>
    <x v="0"/>
    <x v="17"/>
    <x v="4"/>
    <x v="5"/>
    <x v="1"/>
  </r>
  <r>
    <x v="867"/>
    <x v="10"/>
    <x v="12"/>
    <n v="22.9"/>
    <n v="91.6"/>
    <x v="35"/>
    <d v="2025-02-07T00:00:00"/>
    <s v="F"/>
    <x v="2"/>
    <x v="1"/>
    <x v="0"/>
    <x v="38"/>
    <x v="1"/>
    <x v="5"/>
    <x v="2"/>
  </r>
  <r>
    <x v="868"/>
    <x v="10"/>
    <x v="2"/>
    <n v="53.7"/>
    <n v="161.10000000000002"/>
    <x v="35"/>
    <d v="2025-02-06T00:00:00"/>
    <s v="M"/>
    <x v="0"/>
    <x v="4"/>
    <x v="0"/>
    <x v="18"/>
    <x v="3"/>
    <x v="5"/>
    <x v="1"/>
  </r>
  <r>
    <x v="869"/>
    <x v="6"/>
    <x v="9"/>
    <n v="43.2"/>
    <n v="216"/>
    <x v="35"/>
    <d v="2025-02-07T00:00:00"/>
    <s v="F"/>
    <x v="0"/>
    <x v="0"/>
    <x v="0"/>
    <x v="19"/>
    <x v="1"/>
    <x v="5"/>
    <x v="2"/>
  </r>
  <r>
    <x v="870"/>
    <x v="1"/>
    <x v="2"/>
    <n v="84.5"/>
    <n v="253.5"/>
    <x v="35"/>
    <d v="2025-02-07T00:00:00"/>
    <s v="M"/>
    <x v="2"/>
    <x v="2"/>
    <x v="0"/>
    <x v="51"/>
    <x v="1"/>
    <x v="5"/>
    <x v="1"/>
  </r>
  <r>
    <x v="871"/>
    <x v="3"/>
    <x v="1"/>
    <n v="42.2"/>
    <n v="84.4"/>
    <x v="35"/>
    <d v="2025-02-06T00:00:00"/>
    <s v="F"/>
    <x v="1"/>
    <x v="2"/>
    <x v="0"/>
    <x v="1"/>
    <x v="3"/>
    <x v="5"/>
    <x v="2"/>
  </r>
  <r>
    <x v="872"/>
    <x v="2"/>
    <x v="13"/>
    <n v="94.7"/>
    <n v="568.20000000000005"/>
    <x v="35"/>
    <d v="2025-02-08T00:00:00"/>
    <s v="F"/>
    <x v="1"/>
    <x v="2"/>
    <x v="0"/>
    <x v="2"/>
    <x v="2"/>
    <x v="5"/>
    <x v="2"/>
  </r>
  <r>
    <x v="873"/>
    <x v="8"/>
    <x v="16"/>
    <n v="16.7"/>
    <n v="300.59999999999997"/>
    <x v="35"/>
    <d v="2025-02-17T00:00:00"/>
    <s v="F"/>
    <x v="0"/>
    <x v="2"/>
    <x v="0"/>
    <x v="2"/>
    <x v="13"/>
    <x v="5"/>
    <x v="2"/>
  </r>
  <r>
    <x v="874"/>
    <x v="2"/>
    <x v="1"/>
    <n v="83.6"/>
    <n v="167.2"/>
    <x v="35"/>
    <d v="2025-02-11T00:00:00"/>
    <s v="F"/>
    <x v="1"/>
    <x v="0"/>
    <x v="0"/>
    <x v="3"/>
    <x v="4"/>
    <x v="5"/>
    <x v="2"/>
  </r>
  <r>
    <x v="875"/>
    <x v="7"/>
    <x v="13"/>
    <n v="33.6"/>
    <n v="201.60000000000002"/>
    <x v="36"/>
    <d v="2025-02-07T00:00:00"/>
    <s v="F"/>
    <x v="3"/>
    <x v="0"/>
    <x v="0"/>
    <x v="3"/>
    <x v="3"/>
    <x v="5"/>
    <x v="2"/>
  </r>
  <r>
    <x v="876"/>
    <x v="7"/>
    <x v="1"/>
    <n v="64.7"/>
    <n v="129.4"/>
    <x v="36"/>
    <d v="2025-02-08T00:00:00"/>
    <s v="M"/>
    <x v="1"/>
    <x v="2"/>
    <x v="0"/>
    <x v="3"/>
    <x v="1"/>
    <x v="5"/>
    <x v="1"/>
  </r>
  <r>
    <x v="877"/>
    <x v="0"/>
    <x v="2"/>
    <n v="15.7"/>
    <n v="47.099999999999994"/>
    <x v="36"/>
    <d v="2025-02-12T00:00:00"/>
    <s v="F"/>
    <x v="0"/>
    <x v="0"/>
    <x v="0"/>
    <x v="3"/>
    <x v="4"/>
    <x v="5"/>
    <x v="2"/>
  </r>
  <r>
    <x v="878"/>
    <x v="15"/>
    <x v="13"/>
    <n v="49.4"/>
    <n v="296.39999999999998"/>
    <x v="36"/>
    <d v="2025-02-06T00:00:00"/>
    <s v="M"/>
    <x v="1"/>
    <x v="0"/>
    <x v="0"/>
    <x v="3"/>
    <x v="7"/>
    <x v="5"/>
    <x v="1"/>
  </r>
  <r>
    <x v="879"/>
    <x v="10"/>
    <x v="13"/>
    <n v="37"/>
    <n v="222"/>
    <x v="36"/>
    <d v="2025-02-09T00:00:00"/>
    <s v="F"/>
    <x v="1"/>
    <x v="2"/>
    <x v="0"/>
    <x v="3"/>
    <x v="2"/>
    <x v="5"/>
    <x v="2"/>
  </r>
  <r>
    <x v="880"/>
    <x v="2"/>
    <x v="1"/>
    <n v="83.7"/>
    <n v="167.4"/>
    <x v="36"/>
    <d v="2025-02-08T00:00:00"/>
    <s v="F"/>
    <x v="3"/>
    <x v="2"/>
    <x v="0"/>
    <x v="3"/>
    <x v="1"/>
    <x v="5"/>
    <x v="2"/>
  </r>
  <r>
    <x v="881"/>
    <x v="1"/>
    <x v="9"/>
    <n v="35.1"/>
    <n v="175.5"/>
    <x v="36"/>
    <d v="2025-02-07T00:00:00"/>
    <s v="F"/>
    <x v="0"/>
    <x v="0"/>
    <x v="0"/>
    <x v="3"/>
    <x v="3"/>
    <x v="5"/>
    <x v="2"/>
  </r>
  <r>
    <x v="882"/>
    <x v="16"/>
    <x v="8"/>
    <n v="74"/>
    <n v="592"/>
    <x v="36"/>
    <d v="2025-02-07T00:00:00"/>
    <s v="F"/>
    <x v="4"/>
    <x v="0"/>
    <x v="0"/>
    <x v="37"/>
    <x v="3"/>
    <x v="5"/>
    <x v="2"/>
  </r>
  <r>
    <x v="883"/>
    <x v="6"/>
    <x v="25"/>
    <n v="55.5"/>
    <n v="1332"/>
    <x v="36"/>
    <d v="2025-02-09T00:00:00"/>
    <s v="M"/>
    <x v="3"/>
    <x v="0"/>
    <x v="0"/>
    <x v="49"/>
    <x v="2"/>
    <x v="5"/>
    <x v="1"/>
  </r>
  <r>
    <x v="884"/>
    <x v="11"/>
    <x v="1"/>
    <n v="38.9"/>
    <n v="77.8"/>
    <x v="36"/>
    <d v="2025-02-08T00:00:00"/>
    <s v="F"/>
    <x v="1"/>
    <x v="2"/>
    <x v="0"/>
    <x v="25"/>
    <x v="1"/>
    <x v="5"/>
    <x v="2"/>
  </r>
  <r>
    <x v="885"/>
    <x v="16"/>
    <x v="1"/>
    <n v="64.599999999999994"/>
    <n v="129.19999999999999"/>
    <x v="36"/>
    <d v="2025-02-13T00:00:00"/>
    <s v="M"/>
    <x v="2"/>
    <x v="1"/>
    <x v="0"/>
    <x v="25"/>
    <x v="6"/>
    <x v="5"/>
    <x v="1"/>
  </r>
  <r>
    <x v="886"/>
    <x v="2"/>
    <x v="2"/>
    <n v="95.3"/>
    <n v="285.89999999999998"/>
    <x v="36"/>
    <d v="2025-02-07T00:00:00"/>
    <s v="M"/>
    <x v="0"/>
    <x v="0"/>
    <x v="0"/>
    <x v="5"/>
    <x v="3"/>
    <x v="5"/>
    <x v="1"/>
  </r>
  <r>
    <x v="887"/>
    <x v="13"/>
    <x v="2"/>
    <n v="25.8"/>
    <n v="77.400000000000006"/>
    <x v="36"/>
    <d v="2025-02-07T00:00:00"/>
    <s v="F"/>
    <x v="1"/>
    <x v="1"/>
    <x v="0"/>
    <x v="6"/>
    <x v="3"/>
    <x v="5"/>
    <x v="2"/>
  </r>
  <r>
    <x v="888"/>
    <x v="0"/>
    <x v="1"/>
    <n v="11.6"/>
    <n v="23.2"/>
    <x v="36"/>
    <d v="2025-02-10T00:00:00"/>
    <s v="F"/>
    <x v="1"/>
    <x v="1"/>
    <x v="0"/>
    <x v="6"/>
    <x v="5"/>
    <x v="5"/>
    <x v="2"/>
  </r>
  <r>
    <x v="889"/>
    <x v="7"/>
    <x v="0"/>
    <n v="52.3"/>
    <n v="52.3"/>
    <x v="36"/>
    <d v="2025-02-07T00:00:00"/>
    <s v="F"/>
    <x v="1"/>
    <x v="0"/>
    <x v="0"/>
    <x v="8"/>
    <x v="3"/>
    <x v="5"/>
    <x v="2"/>
  </r>
  <r>
    <x v="890"/>
    <x v="2"/>
    <x v="7"/>
    <n v="112.2"/>
    <n v="1122"/>
    <x v="36"/>
    <d v="2025-02-07T00:00:00"/>
    <s v="F"/>
    <x v="1"/>
    <x v="1"/>
    <x v="0"/>
    <x v="8"/>
    <x v="3"/>
    <x v="5"/>
    <x v="2"/>
  </r>
  <r>
    <x v="891"/>
    <x v="4"/>
    <x v="9"/>
    <n v="34.6"/>
    <n v="173"/>
    <x v="36"/>
    <d v="2025-02-08T00:00:00"/>
    <s v="M"/>
    <x v="2"/>
    <x v="0"/>
    <x v="0"/>
    <x v="8"/>
    <x v="1"/>
    <x v="5"/>
    <x v="1"/>
  </r>
  <r>
    <x v="892"/>
    <x v="14"/>
    <x v="12"/>
    <n v="20.100000000000001"/>
    <n v="80.400000000000006"/>
    <x v="36"/>
    <d v="2025-02-12T00:00:00"/>
    <s v="M"/>
    <x v="1"/>
    <x v="2"/>
    <x v="0"/>
    <x v="8"/>
    <x v="4"/>
    <x v="5"/>
    <x v="1"/>
  </r>
  <r>
    <x v="893"/>
    <x v="2"/>
    <x v="12"/>
    <n v="56.4"/>
    <n v="225.6"/>
    <x v="36"/>
    <d v="2025-02-08T00:00:00"/>
    <s v="F"/>
    <x v="2"/>
    <x v="0"/>
    <x v="0"/>
    <x v="10"/>
    <x v="1"/>
    <x v="5"/>
    <x v="2"/>
  </r>
  <r>
    <x v="894"/>
    <x v="13"/>
    <x v="11"/>
    <n v="55.3"/>
    <n v="497.7"/>
    <x v="36"/>
    <d v="2025-02-08T00:00:00"/>
    <s v="F"/>
    <x v="1"/>
    <x v="4"/>
    <x v="0"/>
    <x v="11"/>
    <x v="1"/>
    <x v="5"/>
    <x v="2"/>
  </r>
  <r>
    <x v="895"/>
    <x v="2"/>
    <x v="31"/>
    <n v="75.5"/>
    <n v="2114"/>
    <x v="36"/>
    <d v="2025-02-07T00:00:00"/>
    <s v="F"/>
    <x v="0"/>
    <x v="0"/>
    <x v="0"/>
    <x v="11"/>
    <x v="3"/>
    <x v="5"/>
    <x v="2"/>
  </r>
  <r>
    <x v="896"/>
    <x v="8"/>
    <x v="0"/>
    <n v="23.6"/>
    <n v="23.6"/>
    <x v="36"/>
    <d v="2025-02-11T00:00:00"/>
    <s v="F"/>
    <x v="0"/>
    <x v="0"/>
    <x v="0"/>
    <x v="19"/>
    <x v="0"/>
    <x v="5"/>
    <x v="2"/>
  </r>
  <r>
    <x v="897"/>
    <x v="9"/>
    <x v="1"/>
    <n v="70.7"/>
    <n v="141.4"/>
    <x v="36"/>
    <d v="2025-02-08T00:00:00"/>
    <s v="F"/>
    <x v="2"/>
    <x v="0"/>
    <x v="0"/>
    <x v="19"/>
    <x v="1"/>
    <x v="5"/>
    <x v="2"/>
  </r>
  <r>
    <x v="898"/>
    <x v="12"/>
    <x v="1"/>
    <n v="43.2"/>
    <n v="86.4"/>
    <x v="36"/>
    <d v="2025-02-07T00:00:00"/>
    <s v="F"/>
    <x v="2"/>
    <x v="0"/>
    <x v="0"/>
    <x v="31"/>
    <x v="3"/>
    <x v="5"/>
    <x v="2"/>
  </r>
  <r>
    <x v="899"/>
    <x v="9"/>
    <x v="11"/>
    <n v="70"/>
    <n v="630"/>
    <x v="36"/>
    <d v="2025-02-07T00:00:00"/>
    <s v=""/>
    <x v="1"/>
    <x v="0"/>
    <x v="0"/>
    <x v="52"/>
    <x v="3"/>
    <x v="5"/>
    <x v="0"/>
  </r>
  <r>
    <x v="900"/>
    <x v="0"/>
    <x v="1"/>
    <n v="20.5"/>
    <n v="41"/>
    <x v="36"/>
    <d v="2025-02-08T00:00:00"/>
    <s v="F"/>
    <x v="2"/>
    <x v="4"/>
    <x v="0"/>
    <x v="13"/>
    <x v="1"/>
    <x v="5"/>
    <x v="2"/>
  </r>
  <r>
    <x v="901"/>
    <x v="0"/>
    <x v="12"/>
    <n v="29.1"/>
    <n v="116.4"/>
    <x v="36"/>
    <d v="2025-02-07T00:00:00"/>
    <s v="F"/>
    <x v="3"/>
    <x v="0"/>
    <x v="0"/>
    <x v="28"/>
    <x v="3"/>
    <x v="5"/>
    <x v="2"/>
  </r>
  <r>
    <x v="902"/>
    <x v="6"/>
    <x v="11"/>
    <n v="53.6"/>
    <n v="482.40000000000003"/>
    <x v="36"/>
    <d v="2025-02-07T00:00:00"/>
    <s v="M"/>
    <x v="2"/>
    <x v="1"/>
    <x v="0"/>
    <x v="3"/>
    <x v="3"/>
    <x v="5"/>
    <x v="1"/>
  </r>
  <r>
    <x v="903"/>
    <x v="6"/>
    <x v="9"/>
    <n v="72.3"/>
    <n v="361.5"/>
    <x v="36"/>
    <d v="2025-02-08T00:00:00"/>
    <s v="F"/>
    <x v="1"/>
    <x v="0"/>
    <x v="0"/>
    <x v="3"/>
    <x v="1"/>
    <x v="5"/>
    <x v="2"/>
  </r>
  <r>
    <x v="904"/>
    <x v="13"/>
    <x v="12"/>
    <n v="22.6"/>
    <n v="90.4"/>
    <x v="36"/>
    <d v="2025-02-09T00:00:00"/>
    <s v="O"/>
    <x v="0"/>
    <x v="1"/>
    <x v="0"/>
    <x v="3"/>
    <x v="2"/>
    <x v="5"/>
    <x v="3"/>
  </r>
  <r>
    <x v="905"/>
    <x v="9"/>
    <x v="1"/>
    <n v="44.2"/>
    <n v="88.4"/>
    <x v="36"/>
    <d v="2025-02-10T00:00:00"/>
    <s v=""/>
    <x v="2"/>
    <x v="4"/>
    <x v="0"/>
    <x v="3"/>
    <x v="5"/>
    <x v="5"/>
    <x v="0"/>
  </r>
  <r>
    <x v="906"/>
    <x v="9"/>
    <x v="2"/>
    <n v="94.1"/>
    <n v="282.29999999999995"/>
    <x v="36"/>
    <d v="2025-02-19T00:00:00"/>
    <s v="F"/>
    <x v="2"/>
    <x v="2"/>
    <x v="0"/>
    <x v="3"/>
    <x v="10"/>
    <x v="5"/>
    <x v="2"/>
  </r>
  <r>
    <x v="907"/>
    <x v="8"/>
    <x v="2"/>
    <n v="17.899999999999999"/>
    <n v="53.699999999999996"/>
    <x v="36"/>
    <d v="2025-02-08T00:00:00"/>
    <s v="M"/>
    <x v="1"/>
    <x v="1"/>
    <x v="0"/>
    <x v="3"/>
    <x v="1"/>
    <x v="5"/>
    <x v="1"/>
  </r>
  <r>
    <x v="908"/>
    <x v="12"/>
    <x v="3"/>
    <n v="52.7"/>
    <n v="368.90000000000003"/>
    <x v="36"/>
    <d v="2025-02-07T00:00:00"/>
    <s v="M"/>
    <x v="1"/>
    <x v="1"/>
    <x v="0"/>
    <x v="3"/>
    <x v="3"/>
    <x v="5"/>
    <x v="1"/>
  </r>
  <r>
    <x v="909"/>
    <x v="8"/>
    <x v="0"/>
    <n v="36.799999999999997"/>
    <n v="36.799999999999997"/>
    <x v="36"/>
    <d v="2025-02-06T00:00:00"/>
    <s v=""/>
    <x v="0"/>
    <x v="2"/>
    <x v="0"/>
    <x v="3"/>
    <x v="7"/>
    <x v="5"/>
    <x v="0"/>
  </r>
  <r>
    <x v="910"/>
    <x v="4"/>
    <x v="0"/>
    <n v="52.5"/>
    <n v="52.5"/>
    <x v="36"/>
    <d v="2025-02-07T00:00:00"/>
    <s v="M"/>
    <x v="0"/>
    <x v="1"/>
    <x v="0"/>
    <x v="6"/>
    <x v="3"/>
    <x v="5"/>
    <x v="1"/>
  </r>
  <r>
    <x v="911"/>
    <x v="2"/>
    <x v="1"/>
    <n v="133.80000000000001"/>
    <n v="267.60000000000002"/>
    <x v="36"/>
    <d v="2025-02-08T00:00:00"/>
    <s v="M"/>
    <x v="0"/>
    <x v="1"/>
    <x v="0"/>
    <x v="7"/>
    <x v="1"/>
    <x v="5"/>
    <x v="1"/>
  </r>
  <r>
    <x v="912"/>
    <x v="6"/>
    <x v="1"/>
    <n v="53.2"/>
    <n v="106.4"/>
    <x v="36"/>
    <d v="2025-02-08T00:00:00"/>
    <s v="M"/>
    <x v="0"/>
    <x v="0"/>
    <x v="0"/>
    <x v="17"/>
    <x v="1"/>
    <x v="5"/>
    <x v="1"/>
  </r>
  <r>
    <x v="913"/>
    <x v="14"/>
    <x v="13"/>
    <n v="18.7"/>
    <n v="112.19999999999999"/>
    <x v="36"/>
    <d v="2025-02-08T00:00:00"/>
    <s v=""/>
    <x v="0"/>
    <x v="1"/>
    <x v="0"/>
    <x v="10"/>
    <x v="1"/>
    <x v="5"/>
    <x v="0"/>
  </r>
  <r>
    <x v="914"/>
    <x v="6"/>
    <x v="12"/>
    <n v="108.8"/>
    <n v="435.2"/>
    <x v="36"/>
    <d v="2025-02-07T00:00:00"/>
    <s v="F"/>
    <x v="3"/>
    <x v="2"/>
    <x v="0"/>
    <x v="11"/>
    <x v="3"/>
    <x v="5"/>
    <x v="2"/>
  </r>
  <r>
    <x v="915"/>
    <x v="15"/>
    <x v="9"/>
    <n v="38.5"/>
    <n v="192.5"/>
    <x v="36"/>
    <d v="2025-02-10T00:00:00"/>
    <s v="F"/>
    <x v="0"/>
    <x v="1"/>
    <x v="0"/>
    <x v="14"/>
    <x v="5"/>
    <x v="5"/>
    <x v="2"/>
  </r>
  <r>
    <x v="916"/>
    <x v="10"/>
    <x v="7"/>
    <n v="46.5"/>
    <n v="465"/>
    <x v="36"/>
    <d v="2025-02-08T00:00:00"/>
    <s v="M"/>
    <x v="2"/>
    <x v="1"/>
    <x v="0"/>
    <x v="2"/>
    <x v="1"/>
    <x v="5"/>
    <x v="1"/>
  </r>
  <r>
    <x v="917"/>
    <x v="2"/>
    <x v="2"/>
    <n v="75.8"/>
    <n v="227.39999999999998"/>
    <x v="36"/>
    <d v="2025-02-10T00:00:00"/>
    <s v="F"/>
    <x v="1"/>
    <x v="4"/>
    <x v="0"/>
    <x v="44"/>
    <x v="5"/>
    <x v="5"/>
    <x v="2"/>
  </r>
  <r>
    <x v="918"/>
    <x v="8"/>
    <x v="0"/>
    <n v="20.9"/>
    <n v="20.9"/>
    <x v="36"/>
    <d v="2025-02-10T00:00:00"/>
    <s v="M"/>
    <x v="0"/>
    <x v="0"/>
    <x v="0"/>
    <x v="22"/>
    <x v="5"/>
    <x v="5"/>
    <x v="1"/>
  </r>
  <r>
    <x v="919"/>
    <x v="18"/>
    <x v="2"/>
    <n v="47.4"/>
    <n v="142.19999999999999"/>
    <x v="36"/>
    <d v="2025-02-09T00:00:00"/>
    <s v="F"/>
    <x v="0"/>
    <x v="0"/>
    <x v="0"/>
    <x v="3"/>
    <x v="2"/>
    <x v="5"/>
    <x v="2"/>
  </r>
  <r>
    <x v="920"/>
    <x v="9"/>
    <x v="1"/>
    <n v="53.8"/>
    <n v="107.6"/>
    <x v="36"/>
    <d v="2025-02-07T00:00:00"/>
    <s v=""/>
    <x v="0"/>
    <x v="1"/>
    <x v="0"/>
    <x v="3"/>
    <x v="3"/>
    <x v="5"/>
    <x v="0"/>
  </r>
  <r>
    <x v="921"/>
    <x v="8"/>
    <x v="2"/>
    <n v="24.6"/>
    <n v="73.800000000000011"/>
    <x v="36"/>
    <d v="2025-02-08T00:00:00"/>
    <s v="O"/>
    <x v="1"/>
    <x v="2"/>
    <x v="0"/>
    <x v="3"/>
    <x v="1"/>
    <x v="5"/>
    <x v="3"/>
  </r>
  <r>
    <x v="922"/>
    <x v="9"/>
    <x v="2"/>
    <n v="70.900000000000006"/>
    <n v="212.70000000000002"/>
    <x v="36"/>
    <d v="2025-02-11T00:00:00"/>
    <s v="F"/>
    <x v="2"/>
    <x v="2"/>
    <x v="0"/>
    <x v="3"/>
    <x v="0"/>
    <x v="5"/>
    <x v="2"/>
  </r>
  <r>
    <x v="923"/>
    <x v="17"/>
    <x v="2"/>
    <n v="31.9"/>
    <n v="95.699999999999989"/>
    <x v="36"/>
    <d v="2025-02-08T00:00:00"/>
    <s v="F"/>
    <x v="2"/>
    <x v="2"/>
    <x v="0"/>
    <x v="3"/>
    <x v="1"/>
    <x v="5"/>
    <x v="2"/>
  </r>
  <r>
    <x v="924"/>
    <x v="0"/>
    <x v="1"/>
    <n v="20.399999999999999"/>
    <n v="40.799999999999997"/>
    <x v="36"/>
    <d v="2025-02-10T00:00:00"/>
    <s v="M"/>
    <x v="3"/>
    <x v="2"/>
    <x v="0"/>
    <x v="3"/>
    <x v="5"/>
    <x v="5"/>
    <x v="1"/>
  </r>
  <r>
    <x v="925"/>
    <x v="8"/>
    <x v="1"/>
    <n v="18.600000000000001"/>
    <n v="37.200000000000003"/>
    <x v="36"/>
    <d v="2025-02-08T00:00:00"/>
    <s v=""/>
    <x v="0"/>
    <x v="1"/>
    <x v="0"/>
    <x v="3"/>
    <x v="1"/>
    <x v="5"/>
    <x v="0"/>
  </r>
  <r>
    <x v="926"/>
    <x v="4"/>
    <x v="9"/>
    <n v="48.3"/>
    <n v="241.5"/>
    <x v="36"/>
    <d v="2025-02-08T00:00:00"/>
    <s v="F"/>
    <x v="1"/>
    <x v="0"/>
    <x v="0"/>
    <x v="3"/>
    <x v="1"/>
    <x v="5"/>
    <x v="2"/>
  </r>
  <r>
    <x v="927"/>
    <x v="0"/>
    <x v="12"/>
    <n v="27.7"/>
    <n v="110.8"/>
    <x v="36"/>
    <d v="2025-02-08T00:00:00"/>
    <s v="F"/>
    <x v="0"/>
    <x v="0"/>
    <x v="0"/>
    <x v="3"/>
    <x v="1"/>
    <x v="5"/>
    <x v="2"/>
  </r>
  <r>
    <x v="928"/>
    <x v="4"/>
    <x v="9"/>
    <n v="22.5"/>
    <n v="112.5"/>
    <x v="36"/>
    <d v="2025-02-08T00:00:00"/>
    <s v="F"/>
    <x v="4"/>
    <x v="2"/>
    <x v="0"/>
    <x v="3"/>
    <x v="1"/>
    <x v="5"/>
    <x v="2"/>
  </r>
  <r>
    <x v="929"/>
    <x v="17"/>
    <x v="9"/>
    <n v="21.6"/>
    <n v="108"/>
    <x v="36"/>
    <d v="2025-02-14T00:00:00"/>
    <s v="F"/>
    <x v="0"/>
    <x v="1"/>
    <x v="0"/>
    <x v="3"/>
    <x v="9"/>
    <x v="5"/>
    <x v="2"/>
  </r>
  <r>
    <x v="930"/>
    <x v="10"/>
    <x v="3"/>
    <n v="26.3"/>
    <n v="184.1"/>
    <x v="36"/>
    <d v="2025-02-06T00:00:00"/>
    <s v="F"/>
    <x v="2"/>
    <x v="1"/>
    <x v="0"/>
    <x v="3"/>
    <x v="7"/>
    <x v="5"/>
    <x v="2"/>
  </r>
  <r>
    <x v="931"/>
    <x v="6"/>
    <x v="3"/>
    <n v="103"/>
    <n v="721"/>
    <x v="37"/>
    <d v="2025-02-08T00:00:00"/>
    <s v="M"/>
    <x v="0"/>
    <x v="2"/>
    <x v="0"/>
    <x v="6"/>
    <x v="3"/>
    <x v="5"/>
    <x v="1"/>
  </r>
  <r>
    <x v="932"/>
    <x v="5"/>
    <x v="20"/>
    <n v="46.6"/>
    <n v="699"/>
    <x v="37"/>
    <d v="2025-02-08T00:00:00"/>
    <s v="F"/>
    <x v="0"/>
    <x v="1"/>
    <x v="0"/>
    <x v="6"/>
    <x v="3"/>
    <x v="5"/>
    <x v="2"/>
  </r>
  <r>
    <x v="933"/>
    <x v="0"/>
    <x v="9"/>
    <n v="32.200000000000003"/>
    <n v="161"/>
    <x v="37"/>
    <d v="2025-02-10T00:00:00"/>
    <s v="F"/>
    <x v="0"/>
    <x v="2"/>
    <x v="0"/>
    <x v="36"/>
    <x v="2"/>
    <x v="5"/>
    <x v="2"/>
  </r>
  <r>
    <x v="934"/>
    <x v="8"/>
    <x v="2"/>
    <n v="22"/>
    <n v="66"/>
    <x v="37"/>
    <d v="2025-02-14T00:00:00"/>
    <s v="M"/>
    <x v="1"/>
    <x v="0"/>
    <x v="0"/>
    <x v="7"/>
    <x v="6"/>
    <x v="5"/>
    <x v="1"/>
  </r>
  <r>
    <x v="935"/>
    <x v="0"/>
    <x v="1"/>
    <n v="25.2"/>
    <n v="50.4"/>
    <x v="37"/>
    <d v="2025-02-11T00:00:00"/>
    <s v="F"/>
    <x v="0"/>
    <x v="0"/>
    <x v="0"/>
    <x v="7"/>
    <x v="5"/>
    <x v="5"/>
    <x v="2"/>
  </r>
  <r>
    <x v="936"/>
    <x v="1"/>
    <x v="13"/>
    <n v="68.7"/>
    <n v="412.20000000000005"/>
    <x v="37"/>
    <d v="2025-02-09T00:00:00"/>
    <s v="M"/>
    <x v="4"/>
    <x v="0"/>
    <x v="0"/>
    <x v="8"/>
    <x v="1"/>
    <x v="5"/>
    <x v="1"/>
  </r>
  <r>
    <x v="937"/>
    <x v="0"/>
    <x v="2"/>
    <n v="22.2"/>
    <n v="66.599999999999994"/>
    <x v="37"/>
    <d v="2025-02-10T00:00:00"/>
    <s v="M"/>
    <x v="2"/>
    <x v="2"/>
    <x v="0"/>
    <x v="8"/>
    <x v="2"/>
    <x v="5"/>
    <x v="1"/>
  </r>
  <r>
    <x v="938"/>
    <x v="1"/>
    <x v="3"/>
    <n v="36"/>
    <n v="252"/>
    <x v="37"/>
    <d v="2025-02-08T00:00:00"/>
    <s v="F"/>
    <x v="1"/>
    <x v="0"/>
    <x v="0"/>
    <x v="8"/>
    <x v="3"/>
    <x v="5"/>
    <x v="2"/>
  </r>
  <r>
    <x v="939"/>
    <x v="18"/>
    <x v="0"/>
    <n v="50.6"/>
    <n v="50.6"/>
    <x v="37"/>
    <d v="2025-02-09T00:00:00"/>
    <s v="F"/>
    <x v="0"/>
    <x v="1"/>
    <x v="0"/>
    <x v="8"/>
    <x v="1"/>
    <x v="5"/>
    <x v="2"/>
  </r>
  <r>
    <x v="940"/>
    <x v="15"/>
    <x v="1"/>
    <n v="44.9"/>
    <n v="89.8"/>
    <x v="37"/>
    <d v="2025-02-09T00:00:00"/>
    <s v="M"/>
    <x v="0"/>
    <x v="1"/>
    <x v="0"/>
    <x v="8"/>
    <x v="1"/>
    <x v="5"/>
    <x v="1"/>
  </r>
  <r>
    <x v="941"/>
    <x v="6"/>
    <x v="2"/>
    <n v="71.599999999999994"/>
    <n v="214.79999999999998"/>
    <x v="37"/>
    <d v="2025-02-11T00:00:00"/>
    <s v="M"/>
    <x v="1"/>
    <x v="2"/>
    <x v="0"/>
    <x v="10"/>
    <x v="5"/>
    <x v="5"/>
    <x v="1"/>
  </r>
  <r>
    <x v="942"/>
    <x v="6"/>
    <x v="13"/>
    <n v="51.5"/>
    <n v="309"/>
    <x v="37"/>
    <d v="2025-02-09T00:00:00"/>
    <s v=""/>
    <x v="4"/>
    <x v="0"/>
    <x v="0"/>
    <x v="11"/>
    <x v="1"/>
    <x v="5"/>
    <x v="0"/>
  </r>
  <r>
    <x v="943"/>
    <x v="7"/>
    <x v="9"/>
    <n v="55.5"/>
    <n v="277.5"/>
    <x v="37"/>
    <d v="2025-02-08T00:00:00"/>
    <s v="M"/>
    <x v="1"/>
    <x v="1"/>
    <x v="0"/>
    <x v="11"/>
    <x v="3"/>
    <x v="5"/>
    <x v="1"/>
  </r>
  <r>
    <x v="944"/>
    <x v="6"/>
    <x v="0"/>
    <n v="51.7"/>
    <n v="51.7"/>
    <x v="37"/>
    <d v="2025-02-21T00:00:00"/>
    <s v="M"/>
    <x v="2"/>
    <x v="0"/>
    <x v="0"/>
    <x v="19"/>
    <x v="12"/>
    <x v="5"/>
    <x v="1"/>
  </r>
  <r>
    <x v="945"/>
    <x v="8"/>
    <x v="38"/>
    <n v="45.5"/>
    <n v="955.5"/>
    <x v="37"/>
    <d v="2025-02-08T00:00:00"/>
    <s v="F"/>
    <x v="3"/>
    <x v="2"/>
    <x v="0"/>
    <x v="19"/>
    <x v="3"/>
    <x v="5"/>
    <x v="2"/>
  </r>
  <r>
    <x v="946"/>
    <x v="8"/>
    <x v="1"/>
    <n v="33.799999999999997"/>
    <n v="67.599999999999994"/>
    <x v="37"/>
    <d v="2025-02-13T00:00:00"/>
    <s v="F"/>
    <x v="3"/>
    <x v="0"/>
    <x v="0"/>
    <x v="20"/>
    <x v="4"/>
    <x v="5"/>
    <x v="2"/>
  </r>
  <r>
    <x v="947"/>
    <x v="3"/>
    <x v="2"/>
    <n v="76.5"/>
    <n v="229.5"/>
    <x v="37"/>
    <d v="2025-02-08T00:00:00"/>
    <s v="F"/>
    <x v="0"/>
    <x v="1"/>
    <x v="0"/>
    <x v="21"/>
    <x v="3"/>
    <x v="5"/>
    <x v="2"/>
  </r>
  <r>
    <x v="948"/>
    <x v="9"/>
    <x v="2"/>
    <n v="42.6"/>
    <n v="127.80000000000001"/>
    <x v="37"/>
    <d v="2025-02-13T00:00:00"/>
    <s v="F"/>
    <x v="2"/>
    <x v="2"/>
    <x v="0"/>
    <x v="2"/>
    <x v="4"/>
    <x v="5"/>
    <x v="2"/>
  </r>
  <r>
    <x v="949"/>
    <x v="6"/>
    <x v="2"/>
    <n v="44.1"/>
    <n v="132.30000000000001"/>
    <x v="37"/>
    <d v="2025-02-09T00:00:00"/>
    <s v="F"/>
    <x v="1"/>
    <x v="1"/>
    <x v="0"/>
    <x v="22"/>
    <x v="1"/>
    <x v="5"/>
    <x v="2"/>
  </r>
  <r>
    <x v="950"/>
    <x v="8"/>
    <x v="1"/>
    <n v="40.9"/>
    <n v="81.8"/>
    <x v="37"/>
    <d v="2025-02-11T00:00:00"/>
    <s v="M"/>
    <x v="0"/>
    <x v="0"/>
    <x v="0"/>
    <x v="3"/>
    <x v="5"/>
    <x v="5"/>
    <x v="1"/>
  </r>
  <r>
    <x v="951"/>
    <x v="9"/>
    <x v="2"/>
    <n v="49.1"/>
    <n v="147.30000000000001"/>
    <x v="37"/>
    <d v="2025-02-11T00:00:00"/>
    <s v="F"/>
    <x v="3"/>
    <x v="1"/>
    <x v="0"/>
    <x v="3"/>
    <x v="5"/>
    <x v="5"/>
    <x v="2"/>
  </r>
  <r>
    <x v="952"/>
    <x v="18"/>
    <x v="0"/>
    <n v="85.3"/>
    <n v="85.3"/>
    <x v="37"/>
    <d v="2025-02-11T00:00:00"/>
    <s v="M"/>
    <x v="1"/>
    <x v="1"/>
    <x v="0"/>
    <x v="3"/>
    <x v="5"/>
    <x v="5"/>
    <x v="1"/>
  </r>
  <r>
    <x v="953"/>
    <x v="6"/>
    <x v="12"/>
    <n v="43.1"/>
    <n v="172.4"/>
    <x v="38"/>
    <d v="2025-02-11T00:00:00"/>
    <s v="M"/>
    <x v="0"/>
    <x v="0"/>
    <x v="0"/>
    <x v="3"/>
    <x v="2"/>
    <x v="5"/>
    <x v="1"/>
  </r>
  <r>
    <x v="954"/>
    <x v="4"/>
    <x v="12"/>
    <n v="46.2"/>
    <n v="184.8"/>
    <x v="38"/>
    <d v="2025-02-09T00:00:00"/>
    <s v="M"/>
    <x v="2"/>
    <x v="0"/>
    <x v="0"/>
    <x v="3"/>
    <x v="3"/>
    <x v="5"/>
    <x v="1"/>
  </r>
  <r>
    <x v="955"/>
    <x v="1"/>
    <x v="0"/>
    <n v="74.400000000000006"/>
    <n v="74.400000000000006"/>
    <x v="38"/>
    <d v="2025-02-10T00:00:00"/>
    <s v="M"/>
    <x v="4"/>
    <x v="2"/>
    <x v="0"/>
    <x v="3"/>
    <x v="1"/>
    <x v="5"/>
    <x v="1"/>
  </r>
  <r>
    <x v="956"/>
    <x v="17"/>
    <x v="1"/>
    <n v="51.2"/>
    <n v="102.4"/>
    <x v="38"/>
    <d v="2025-02-09T00:00:00"/>
    <s v="M"/>
    <x v="1"/>
    <x v="0"/>
    <x v="0"/>
    <x v="3"/>
    <x v="3"/>
    <x v="5"/>
    <x v="1"/>
  </r>
  <r>
    <x v="957"/>
    <x v="14"/>
    <x v="12"/>
    <n v="11.8"/>
    <n v="47.2"/>
    <x v="38"/>
    <d v="2025-02-08T00:00:00"/>
    <s v="M"/>
    <x v="2"/>
    <x v="0"/>
    <x v="0"/>
    <x v="3"/>
    <x v="7"/>
    <x v="5"/>
    <x v="1"/>
  </r>
  <r>
    <x v="958"/>
    <x v="10"/>
    <x v="6"/>
    <n v="40.799999999999997"/>
    <n v="1101.5999999999999"/>
    <x v="38"/>
    <d v="2025-02-09T00:00:00"/>
    <s v="F"/>
    <x v="3"/>
    <x v="2"/>
    <x v="0"/>
    <x v="3"/>
    <x v="3"/>
    <x v="5"/>
    <x v="2"/>
  </r>
  <r>
    <x v="959"/>
    <x v="8"/>
    <x v="0"/>
    <n v="24.7"/>
    <n v="24.7"/>
    <x v="38"/>
    <d v="2025-02-10T00:00:00"/>
    <s v="F"/>
    <x v="2"/>
    <x v="1"/>
    <x v="0"/>
    <x v="3"/>
    <x v="1"/>
    <x v="5"/>
    <x v="2"/>
  </r>
  <r>
    <x v="960"/>
    <x v="8"/>
    <x v="3"/>
    <n v="22.1"/>
    <n v="154.70000000000002"/>
    <x v="38"/>
    <d v="2025-02-08T00:00:00"/>
    <s v="F"/>
    <x v="2"/>
    <x v="4"/>
    <x v="0"/>
    <x v="3"/>
    <x v="7"/>
    <x v="5"/>
    <x v="2"/>
  </r>
  <r>
    <x v="961"/>
    <x v="8"/>
    <x v="0"/>
    <n v="18.100000000000001"/>
    <n v="18.100000000000001"/>
    <x v="38"/>
    <d v="2025-02-12T00:00:00"/>
    <s v="M"/>
    <x v="3"/>
    <x v="2"/>
    <x v="0"/>
    <x v="3"/>
    <x v="5"/>
    <x v="5"/>
    <x v="1"/>
  </r>
  <r>
    <x v="962"/>
    <x v="17"/>
    <x v="1"/>
    <n v="58.8"/>
    <n v="117.6"/>
    <x v="38"/>
    <d v="2025-02-11T00:00:00"/>
    <s v="F"/>
    <x v="0"/>
    <x v="0"/>
    <x v="0"/>
    <x v="25"/>
    <x v="2"/>
    <x v="5"/>
    <x v="2"/>
  </r>
  <r>
    <x v="963"/>
    <x v="18"/>
    <x v="1"/>
    <n v="30.8"/>
    <n v="61.6"/>
    <x v="38"/>
    <d v="2025-02-09T00:00:00"/>
    <s v="F"/>
    <x v="0"/>
    <x v="0"/>
    <x v="0"/>
    <x v="6"/>
    <x v="3"/>
    <x v="5"/>
    <x v="2"/>
  </r>
  <r>
    <x v="964"/>
    <x v="0"/>
    <x v="1"/>
    <n v="12"/>
    <n v="24"/>
    <x v="38"/>
    <d v="2025-02-12T00:00:00"/>
    <s v="F"/>
    <x v="0"/>
    <x v="0"/>
    <x v="0"/>
    <x v="6"/>
    <x v="5"/>
    <x v="5"/>
    <x v="2"/>
  </r>
  <r>
    <x v="965"/>
    <x v="0"/>
    <x v="12"/>
    <n v="13.6"/>
    <n v="54.4"/>
    <x v="38"/>
    <d v="2025-02-11T00:00:00"/>
    <s v="M"/>
    <x v="2"/>
    <x v="0"/>
    <x v="0"/>
    <x v="6"/>
    <x v="2"/>
    <x v="5"/>
    <x v="1"/>
  </r>
  <r>
    <x v="966"/>
    <x v="0"/>
    <x v="0"/>
    <n v="17.899999999999999"/>
    <n v="17.899999999999999"/>
    <x v="38"/>
    <d v="2025-02-09T00:00:00"/>
    <s v="M"/>
    <x v="3"/>
    <x v="0"/>
    <x v="0"/>
    <x v="6"/>
    <x v="3"/>
    <x v="5"/>
    <x v="1"/>
  </r>
  <r>
    <x v="967"/>
    <x v="9"/>
    <x v="1"/>
    <n v="38.6"/>
    <n v="77.2"/>
    <x v="38"/>
    <d v="2025-02-12T00:00:00"/>
    <s v="F"/>
    <x v="4"/>
    <x v="0"/>
    <x v="0"/>
    <x v="7"/>
    <x v="5"/>
    <x v="5"/>
    <x v="2"/>
  </r>
  <r>
    <x v="968"/>
    <x v="5"/>
    <x v="9"/>
    <n v="32.700000000000003"/>
    <n v="163.5"/>
    <x v="38"/>
    <d v="2025-02-09T00:00:00"/>
    <s v="M"/>
    <x v="2"/>
    <x v="2"/>
    <x v="0"/>
    <x v="8"/>
    <x v="3"/>
    <x v="5"/>
    <x v="1"/>
  </r>
  <r>
    <x v="969"/>
    <x v="3"/>
    <x v="1"/>
    <n v="111.4"/>
    <n v="222.8"/>
    <x v="38"/>
    <d v="2025-02-09T00:00:00"/>
    <s v="F"/>
    <x v="1"/>
    <x v="0"/>
    <x v="0"/>
    <x v="8"/>
    <x v="3"/>
    <x v="5"/>
    <x v="2"/>
  </r>
  <r>
    <x v="970"/>
    <x v="2"/>
    <x v="13"/>
    <n v="80.3"/>
    <n v="481.79999999999995"/>
    <x v="38"/>
    <d v="2025-02-10T00:00:00"/>
    <s v="F"/>
    <x v="1"/>
    <x v="0"/>
    <x v="0"/>
    <x v="8"/>
    <x v="1"/>
    <x v="5"/>
    <x v="2"/>
  </r>
  <r>
    <x v="971"/>
    <x v="6"/>
    <x v="1"/>
    <n v="58.9"/>
    <n v="117.8"/>
    <x v="38"/>
    <d v="2025-02-09T00:00:00"/>
    <s v="M"/>
    <x v="1"/>
    <x v="0"/>
    <x v="0"/>
    <x v="8"/>
    <x v="3"/>
    <x v="5"/>
    <x v="1"/>
  </r>
  <r>
    <x v="972"/>
    <x v="6"/>
    <x v="2"/>
    <n v="51.9"/>
    <n v="155.69999999999999"/>
    <x v="38"/>
    <d v="2025-02-10T00:00:00"/>
    <s v="F"/>
    <x v="1"/>
    <x v="4"/>
    <x v="0"/>
    <x v="8"/>
    <x v="1"/>
    <x v="5"/>
    <x v="2"/>
  </r>
  <r>
    <x v="973"/>
    <x v="2"/>
    <x v="2"/>
    <n v="50.3"/>
    <n v="150.89999999999998"/>
    <x v="38"/>
    <d v="2025-02-09T00:00:00"/>
    <s v="M"/>
    <x v="2"/>
    <x v="0"/>
    <x v="0"/>
    <x v="17"/>
    <x v="3"/>
    <x v="5"/>
    <x v="1"/>
  </r>
  <r>
    <x v="974"/>
    <x v="11"/>
    <x v="13"/>
    <n v="45"/>
    <n v="270"/>
    <x v="38"/>
    <d v="2025-02-14T00:00:00"/>
    <s v="F"/>
    <x v="3"/>
    <x v="0"/>
    <x v="0"/>
    <x v="9"/>
    <x v="4"/>
    <x v="5"/>
    <x v="2"/>
  </r>
  <r>
    <x v="975"/>
    <x v="10"/>
    <x v="13"/>
    <n v="44.7"/>
    <n v="268.20000000000005"/>
    <x v="38"/>
    <d v="2025-02-10T00:00:00"/>
    <s v="F"/>
    <x v="2"/>
    <x v="0"/>
    <x v="0"/>
    <x v="11"/>
    <x v="1"/>
    <x v="5"/>
    <x v="2"/>
  </r>
  <r>
    <x v="976"/>
    <x v="18"/>
    <x v="20"/>
    <n v="33"/>
    <n v="495"/>
    <x v="38"/>
    <d v="2025-02-09T00:00:00"/>
    <s v="F"/>
    <x v="2"/>
    <x v="0"/>
    <x v="0"/>
    <x v="11"/>
    <x v="3"/>
    <x v="5"/>
    <x v="2"/>
  </r>
  <r>
    <x v="977"/>
    <x v="1"/>
    <x v="9"/>
    <n v="44.9"/>
    <n v="224.5"/>
    <x v="38"/>
    <d v="2025-02-11T00:00:00"/>
    <s v="F"/>
    <x v="2"/>
    <x v="2"/>
    <x v="0"/>
    <x v="18"/>
    <x v="2"/>
    <x v="5"/>
    <x v="2"/>
  </r>
  <r>
    <x v="978"/>
    <x v="10"/>
    <x v="1"/>
    <n v="34.6"/>
    <n v="69.2"/>
    <x v="38"/>
    <d v="2025-02-12T00:00:00"/>
    <s v="F"/>
    <x v="0"/>
    <x v="1"/>
    <x v="0"/>
    <x v="19"/>
    <x v="5"/>
    <x v="5"/>
    <x v="2"/>
  </r>
  <r>
    <x v="979"/>
    <x v="7"/>
    <x v="3"/>
    <n v="47.1"/>
    <n v="329.7"/>
    <x v="38"/>
    <d v="2025-02-13T00:00:00"/>
    <s v="F"/>
    <x v="0"/>
    <x v="0"/>
    <x v="0"/>
    <x v="13"/>
    <x v="0"/>
    <x v="5"/>
    <x v="2"/>
  </r>
  <r>
    <x v="980"/>
    <x v="4"/>
    <x v="9"/>
    <n v="26.1"/>
    <n v="130.5"/>
    <x v="38"/>
    <d v="2025-02-13T00:00:00"/>
    <s v="M"/>
    <x v="0"/>
    <x v="2"/>
    <x v="0"/>
    <x v="21"/>
    <x v="0"/>
    <x v="5"/>
    <x v="1"/>
  </r>
  <r>
    <x v="981"/>
    <x v="12"/>
    <x v="9"/>
    <n v="66.8"/>
    <n v="334"/>
    <x v="38"/>
    <d v="2025-02-11T00:00:00"/>
    <s v="F"/>
    <x v="0"/>
    <x v="0"/>
    <x v="0"/>
    <x v="21"/>
    <x v="2"/>
    <x v="5"/>
    <x v="2"/>
  </r>
  <r>
    <x v="982"/>
    <x v="2"/>
    <x v="1"/>
    <n v="167.9"/>
    <n v="335.8"/>
    <x v="38"/>
    <d v="2025-02-09T00:00:00"/>
    <s v="F"/>
    <x v="3"/>
    <x v="2"/>
    <x v="0"/>
    <x v="21"/>
    <x v="3"/>
    <x v="5"/>
    <x v="2"/>
  </r>
  <r>
    <x v="983"/>
    <x v="10"/>
    <x v="11"/>
    <n v="34.6"/>
    <n v="311.40000000000003"/>
    <x v="38"/>
    <d v="2025-02-09T00:00:00"/>
    <s v="F"/>
    <x v="2"/>
    <x v="1"/>
    <x v="0"/>
    <x v="21"/>
    <x v="3"/>
    <x v="5"/>
    <x v="2"/>
  </r>
  <r>
    <x v="984"/>
    <x v="8"/>
    <x v="2"/>
    <n v="35.1"/>
    <n v="105.30000000000001"/>
    <x v="39"/>
    <d v="2025-02-13T00:00:00"/>
    <s v="M"/>
    <x v="4"/>
    <x v="2"/>
    <x v="0"/>
    <x v="1"/>
    <x v="5"/>
    <x v="6"/>
    <x v="1"/>
  </r>
  <r>
    <x v="985"/>
    <x v="6"/>
    <x v="12"/>
    <n v="104.5"/>
    <n v="418"/>
    <x v="39"/>
    <d v="2025-02-10T00:00:00"/>
    <s v="M"/>
    <x v="1"/>
    <x v="1"/>
    <x v="0"/>
    <x v="1"/>
    <x v="3"/>
    <x v="6"/>
    <x v="1"/>
  </r>
  <r>
    <x v="986"/>
    <x v="8"/>
    <x v="0"/>
    <n v="37.9"/>
    <n v="37.9"/>
    <x v="39"/>
    <d v="2025-02-11T00:00:00"/>
    <s v=""/>
    <x v="1"/>
    <x v="2"/>
    <x v="0"/>
    <x v="2"/>
    <x v="1"/>
    <x v="6"/>
    <x v="0"/>
  </r>
  <r>
    <x v="987"/>
    <x v="4"/>
    <x v="2"/>
    <n v="25.5"/>
    <n v="76.5"/>
    <x v="39"/>
    <d v="2025-02-12T00:00:00"/>
    <s v="M"/>
    <x v="3"/>
    <x v="0"/>
    <x v="0"/>
    <x v="2"/>
    <x v="2"/>
    <x v="6"/>
    <x v="1"/>
  </r>
  <r>
    <x v="988"/>
    <x v="0"/>
    <x v="2"/>
    <n v="32"/>
    <n v="96"/>
    <x v="39"/>
    <d v="2025-02-13T00:00:00"/>
    <s v="F"/>
    <x v="1"/>
    <x v="0"/>
    <x v="0"/>
    <x v="22"/>
    <x v="5"/>
    <x v="6"/>
    <x v="2"/>
  </r>
  <r>
    <x v="989"/>
    <x v="1"/>
    <x v="0"/>
    <n v="47.1"/>
    <n v="47.1"/>
    <x v="39"/>
    <d v="2025-02-10T00:00:00"/>
    <s v="F"/>
    <x v="0"/>
    <x v="0"/>
    <x v="0"/>
    <x v="34"/>
    <x v="3"/>
    <x v="6"/>
    <x v="2"/>
  </r>
  <r>
    <x v="990"/>
    <x v="6"/>
    <x v="1"/>
    <n v="50.6"/>
    <n v="101.2"/>
    <x v="39"/>
    <d v="2025-02-15T00:00:00"/>
    <s v=""/>
    <x v="0"/>
    <x v="0"/>
    <x v="0"/>
    <x v="3"/>
    <x v="4"/>
    <x v="6"/>
    <x v="0"/>
  </r>
  <r>
    <x v="991"/>
    <x v="6"/>
    <x v="9"/>
    <n v="81.7"/>
    <n v="408.5"/>
    <x v="39"/>
    <d v="2025-02-10T00:00:00"/>
    <s v="F"/>
    <x v="1"/>
    <x v="2"/>
    <x v="0"/>
    <x v="3"/>
    <x v="3"/>
    <x v="6"/>
    <x v="2"/>
  </r>
  <r>
    <x v="992"/>
    <x v="5"/>
    <x v="1"/>
    <n v="50.7"/>
    <n v="101.4"/>
    <x v="39"/>
    <d v="2025-02-10T00:00:00"/>
    <s v="O"/>
    <x v="2"/>
    <x v="2"/>
    <x v="0"/>
    <x v="3"/>
    <x v="3"/>
    <x v="6"/>
    <x v="3"/>
  </r>
  <r>
    <x v="993"/>
    <x v="2"/>
    <x v="10"/>
    <n v="67.3"/>
    <n v="1278.7"/>
    <x v="39"/>
    <d v="2025-02-13T00:00:00"/>
    <s v="F"/>
    <x v="2"/>
    <x v="0"/>
    <x v="0"/>
    <x v="3"/>
    <x v="5"/>
    <x v="6"/>
    <x v="2"/>
  </r>
  <r>
    <x v="994"/>
    <x v="2"/>
    <x v="12"/>
    <n v="64.8"/>
    <n v="259.2"/>
    <x v="39"/>
    <d v="2025-02-12T00:00:00"/>
    <s v="F"/>
    <x v="3"/>
    <x v="0"/>
    <x v="0"/>
    <x v="3"/>
    <x v="2"/>
    <x v="6"/>
    <x v="2"/>
  </r>
  <r>
    <x v="995"/>
    <x v="5"/>
    <x v="32"/>
    <n v="61.3"/>
    <n v="1348.6"/>
    <x v="39"/>
    <d v="2025-02-10T00:00:00"/>
    <s v="F"/>
    <x v="0"/>
    <x v="2"/>
    <x v="0"/>
    <x v="3"/>
    <x v="3"/>
    <x v="6"/>
    <x v="2"/>
  </r>
  <r>
    <x v="996"/>
    <x v="14"/>
    <x v="0"/>
    <n v="32.9"/>
    <n v="32.9"/>
    <x v="39"/>
    <d v="2025-02-12T00:00:00"/>
    <s v="F"/>
    <x v="4"/>
    <x v="0"/>
    <x v="0"/>
    <x v="3"/>
    <x v="2"/>
    <x v="6"/>
    <x v="2"/>
  </r>
  <r>
    <x v="997"/>
    <x v="6"/>
    <x v="1"/>
    <n v="100.8"/>
    <n v="201.6"/>
    <x v="39"/>
    <d v="2025-02-12T00:00:00"/>
    <s v="F"/>
    <x v="0"/>
    <x v="0"/>
    <x v="0"/>
    <x v="3"/>
    <x v="2"/>
    <x v="6"/>
    <x v="2"/>
  </r>
  <r>
    <x v="998"/>
    <x v="8"/>
    <x v="12"/>
    <n v="25.1"/>
    <n v="100.4"/>
    <x v="39"/>
    <d v="2025-02-11T00:00:00"/>
    <s v="F"/>
    <x v="1"/>
    <x v="0"/>
    <x v="0"/>
    <x v="3"/>
    <x v="1"/>
    <x v="6"/>
    <x v="2"/>
  </r>
  <r>
    <x v="999"/>
    <x v="17"/>
    <x v="0"/>
    <n v="48.5"/>
    <n v="48.5"/>
    <x v="39"/>
    <d v="2025-02-10T00:00:00"/>
    <s v="F"/>
    <x v="0"/>
    <x v="1"/>
    <x v="0"/>
    <x v="3"/>
    <x v="3"/>
    <x v="6"/>
    <x v="2"/>
  </r>
  <r>
    <x v="1000"/>
    <x v="7"/>
    <x v="1"/>
    <n v="33.6"/>
    <n v="67.2"/>
    <x v="39"/>
    <d v="2025-02-13T00:00:00"/>
    <s v="F"/>
    <x v="2"/>
    <x v="2"/>
    <x v="0"/>
    <x v="3"/>
    <x v="5"/>
    <x v="6"/>
    <x v="2"/>
  </r>
  <r>
    <x v="1001"/>
    <x v="8"/>
    <x v="0"/>
    <n v="39.299999999999997"/>
    <n v="39.299999999999997"/>
    <x v="39"/>
    <d v="2025-02-20T00:00:00"/>
    <s v="F"/>
    <x v="1"/>
    <x v="1"/>
    <x v="0"/>
    <x v="49"/>
    <x v="11"/>
    <x v="6"/>
    <x v="2"/>
  </r>
  <r>
    <x v="1002"/>
    <x v="4"/>
    <x v="7"/>
    <n v="48.8"/>
    <n v="488"/>
    <x v="39"/>
    <d v="2025-02-11T00:00:00"/>
    <s v="F"/>
    <x v="3"/>
    <x v="1"/>
    <x v="0"/>
    <x v="25"/>
    <x v="1"/>
    <x v="6"/>
    <x v="2"/>
  </r>
  <r>
    <x v="1003"/>
    <x v="6"/>
    <x v="8"/>
    <n v="72.8"/>
    <n v="582.4"/>
    <x v="39"/>
    <d v="2025-02-11T00:00:00"/>
    <s v="M"/>
    <x v="1"/>
    <x v="2"/>
    <x v="0"/>
    <x v="5"/>
    <x v="1"/>
    <x v="6"/>
    <x v="1"/>
  </r>
  <r>
    <x v="1004"/>
    <x v="10"/>
    <x v="8"/>
    <n v="46.2"/>
    <n v="369.6"/>
    <x v="39"/>
    <d v="2025-02-10T00:00:00"/>
    <s v="M"/>
    <x v="3"/>
    <x v="4"/>
    <x v="0"/>
    <x v="5"/>
    <x v="3"/>
    <x v="6"/>
    <x v="1"/>
  </r>
  <r>
    <x v="1005"/>
    <x v="4"/>
    <x v="1"/>
    <n v="20.7"/>
    <n v="41.4"/>
    <x v="39"/>
    <d v="2025-02-10T00:00:00"/>
    <s v="F"/>
    <x v="2"/>
    <x v="3"/>
    <x v="0"/>
    <x v="6"/>
    <x v="3"/>
    <x v="6"/>
    <x v="2"/>
  </r>
  <r>
    <x v="1006"/>
    <x v="0"/>
    <x v="0"/>
    <n v="35.700000000000003"/>
    <n v="35.700000000000003"/>
    <x v="39"/>
    <d v="2025-02-11T00:00:00"/>
    <s v="F"/>
    <x v="3"/>
    <x v="0"/>
    <x v="0"/>
    <x v="6"/>
    <x v="1"/>
    <x v="6"/>
    <x v="2"/>
  </r>
  <r>
    <x v="1007"/>
    <x v="2"/>
    <x v="27"/>
    <n v="166.2"/>
    <n v="2659.2"/>
    <x v="39"/>
    <d v="2025-02-11T00:00:00"/>
    <s v=""/>
    <x v="2"/>
    <x v="0"/>
    <x v="0"/>
    <x v="7"/>
    <x v="1"/>
    <x v="6"/>
    <x v="0"/>
  </r>
  <r>
    <x v="1008"/>
    <x v="6"/>
    <x v="12"/>
    <n v="85.8"/>
    <n v="343.2"/>
    <x v="39"/>
    <d v="2025-02-10T00:00:00"/>
    <s v="F"/>
    <x v="1"/>
    <x v="1"/>
    <x v="0"/>
    <x v="7"/>
    <x v="3"/>
    <x v="6"/>
    <x v="2"/>
  </r>
  <r>
    <x v="1009"/>
    <x v="8"/>
    <x v="2"/>
    <n v="26"/>
    <n v="78"/>
    <x v="39"/>
    <d v="2025-02-11T00:00:00"/>
    <s v="O"/>
    <x v="1"/>
    <x v="0"/>
    <x v="0"/>
    <x v="7"/>
    <x v="1"/>
    <x v="6"/>
    <x v="3"/>
  </r>
  <r>
    <x v="1010"/>
    <x v="2"/>
    <x v="15"/>
    <n v="116.6"/>
    <n v="1515.8"/>
    <x v="39"/>
    <d v="2025-02-12T00:00:00"/>
    <s v="F"/>
    <x v="0"/>
    <x v="0"/>
    <x v="0"/>
    <x v="8"/>
    <x v="2"/>
    <x v="6"/>
    <x v="2"/>
  </r>
  <r>
    <x v="1011"/>
    <x v="9"/>
    <x v="3"/>
    <n v="53.9"/>
    <n v="377.3"/>
    <x v="39"/>
    <d v="2025-02-12T00:00:00"/>
    <s v="O"/>
    <x v="0"/>
    <x v="2"/>
    <x v="0"/>
    <x v="8"/>
    <x v="2"/>
    <x v="6"/>
    <x v="3"/>
  </r>
  <r>
    <x v="1012"/>
    <x v="12"/>
    <x v="9"/>
    <n v="72.3"/>
    <n v="361.5"/>
    <x v="39"/>
    <d v="2025-02-11T00:00:00"/>
    <s v=""/>
    <x v="2"/>
    <x v="2"/>
    <x v="0"/>
    <x v="8"/>
    <x v="1"/>
    <x v="6"/>
    <x v="0"/>
  </r>
  <r>
    <x v="1013"/>
    <x v="5"/>
    <x v="1"/>
    <n v="31.4"/>
    <n v="62.8"/>
    <x v="39"/>
    <d v="2025-02-11T00:00:00"/>
    <s v="F"/>
    <x v="0"/>
    <x v="0"/>
    <x v="0"/>
    <x v="8"/>
    <x v="1"/>
    <x v="6"/>
    <x v="2"/>
  </r>
  <r>
    <x v="1014"/>
    <x v="13"/>
    <x v="1"/>
    <n v="53.1"/>
    <n v="106.2"/>
    <x v="39"/>
    <d v="2025-02-12T00:00:00"/>
    <s v="M"/>
    <x v="1"/>
    <x v="0"/>
    <x v="0"/>
    <x v="8"/>
    <x v="2"/>
    <x v="6"/>
    <x v="1"/>
  </r>
  <r>
    <x v="1015"/>
    <x v="2"/>
    <x v="12"/>
    <n v="56.2"/>
    <n v="224.8"/>
    <x v="39"/>
    <d v="2025-02-10T00:00:00"/>
    <s v="F"/>
    <x v="0"/>
    <x v="0"/>
    <x v="0"/>
    <x v="8"/>
    <x v="3"/>
    <x v="6"/>
    <x v="2"/>
  </r>
  <r>
    <x v="1016"/>
    <x v="1"/>
    <x v="7"/>
    <n v="77.3"/>
    <n v="773"/>
    <x v="39"/>
    <d v="2025-02-10T00:00:00"/>
    <s v="F"/>
    <x v="2"/>
    <x v="0"/>
    <x v="0"/>
    <x v="11"/>
    <x v="3"/>
    <x v="6"/>
    <x v="2"/>
  </r>
  <r>
    <x v="1017"/>
    <x v="6"/>
    <x v="15"/>
    <n v="57.8"/>
    <n v="751.4"/>
    <x v="39"/>
    <d v="2025-02-10T00:00:00"/>
    <s v=""/>
    <x v="0"/>
    <x v="0"/>
    <x v="0"/>
    <x v="53"/>
    <x v="3"/>
    <x v="6"/>
    <x v="0"/>
  </r>
  <r>
    <x v="1018"/>
    <x v="12"/>
    <x v="20"/>
    <n v="42.1"/>
    <n v="631.5"/>
    <x v="39"/>
    <d v="2025-02-11T00:00:00"/>
    <s v="F"/>
    <x v="1"/>
    <x v="1"/>
    <x v="0"/>
    <x v="53"/>
    <x v="1"/>
    <x v="6"/>
    <x v="2"/>
  </r>
  <r>
    <x v="1019"/>
    <x v="8"/>
    <x v="11"/>
    <n v="22.8"/>
    <n v="205.20000000000002"/>
    <x v="39"/>
    <d v="2025-02-13T00:00:00"/>
    <s v="M"/>
    <x v="2"/>
    <x v="2"/>
    <x v="0"/>
    <x v="19"/>
    <x v="5"/>
    <x v="6"/>
    <x v="1"/>
  </r>
  <r>
    <x v="1020"/>
    <x v="2"/>
    <x v="2"/>
    <n v="171.1"/>
    <n v="513.29999999999995"/>
    <x v="40"/>
    <d v="2025-02-17T00:00:00"/>
    <s v="F"/>
    <x v="2"/>
    <x v="1"/>
    <x v="0"/>
    <x v="19"/>
    <x v="6"/>
    <x v="6"/>
    <x v="2"/>
  </r>
  <r>
    <x v="1021"/>
    <x v="8"/>
    <x v="0"/>
    <n v="28"/>
    <n v="28"/>
    <x v="40"/>
    <d v="2025-02-12T00:00:00"/>
    <s v="M"/>
    <x v="2"/>
    <x v="2"/>
    <x v="0"/>
    <x v="21"/>
    <x v="1"/>
    <x v="6"/>
    <x v="1"/>
  </r>
  <r>
    <x v="1022"/>
    <x v="6"/>
    <x v="3"/>
    <n v="50.2"/>
    <n v="351.40000000000003"/>
    <x v="40"/>
    <d v="2025-02-12T00:00:00"/>
    <s v="M"/>
    <x v="2"/>
    <x v="0"/>
    <x v="0"/>
    <x v="21"/>
    <x v="1"/>
    <x v="6"/>
    <x v="1"/>
  </r>
  <r>
    <x v="1023"/>
    <x v="6"/>
    <x v="1"/>
    <n v="56"/>
    <n v="112"/>
    <x v="40"/>
    <d v="2025-02-10T00:00:00"/>
    <s v="M"/>
    <x v="0"/>
    <x v="2"/>
    <x v="0"/>
    <x v="22"/>
    <x v="7"/>
    <x v="6"/>
    <x v="1"/>
  </r>
  <r>
    <x v="1024"/>
    <x v="1"/>
    <x v="1"/>
    <n v="38.299999999999997"/>
    <n v="76.599999999999994"/>
    <x v="40"/>
    <d v="2025-02-11T00:00:00"/>
    <s v="F"/>
    <x v="1"/>
    <x v="0"/>
    <x v="0"/>
    <x v="3"/>
    <x v="3"/>
    <x v="6"/>
    <x v="2"/>
  </r>
  <r>
    <x v="1025"/>
    <x v="0"/>
    <x v="9"/>
    <n v="22.3"/>
    <n v="111.5"/>
    <x v="40"/>
    <d v="2025-02-14T00:00:00"/>
    <s v="F"/>
    <x v="2"/>
    <x v="1"/>
    <x v="0"/>
    <x v="3"/>
    <x v="5"/>
    <x v="6"/>
    <x v="2"/>
  </r>
  <r>
    <x v="1026"/>
    <x v="0"/>
    <x v="2"/>
    <n v="22.3"/>
    <n v="66.900000000000006"/>
    <x v="40"/>
    <d v="2025-02-13T00:00:00"/>
    <s v="F"/>
    <x v="2"/>
    <x v="0"/>
    <x v="0"/>
    <x v="3"/>
    <x v="2"/>
    <x v="6"/>
    <x v="2"/>
  </r>
  <r>
    <x v="1027"/>
    <x v="1"/>
    <x v="0"/>
    <n v="32.9"/>
    <n v="32.9"/>
    <x v="40"/>
    <d v="2025-02-15T00:00:00"/>
    <s v="F"/>
    <x v="0"/>
    <x v="0"/>
    <x v="0"/>
    <x v="3"/>
    <x v="0"/>
    <x v="6"/>
    <x v="2"/>
  </r>
  <r>
    <x v="1028"/>
    <x v="10"/>
    <x v="2"/>
    <n v="31.9"/>
    <n v="95.699999999999989"/>
    <x v="40"/>
    <d v="2025-02-15T00:00:00"/>
    <s v="F"/>
    <x v="0"/>
    <x v="0"/>
    <x v="0"/>
    <x v="3"/>
    <x v="0"/>
    <x v="6"/>
    <x v="2"/>
  </r>
  <r>
    <x v="1029"/>
    <x v="6"/>
    <x v="1"/>
    <n v="94"/>
    <n v="188"/>
    <x v="40"/>
    <d v="2025-02-11T00:00:00"/>
    <s v="M"/>
    <x v="2"/>
    <x v="2"/>
    <x v="0"/>
    <x v="3"/>
    <x v="3"/>
    <x v="6"/>
    <x v="1"/>
  </r>
  <r>
    <x v="1030"/>
    <x v="10"/>
    <x v="1"/>
    <n v="30.7"/>
    <n v="61.4"/>
    <x v="40"/>
    <d v="2025-02-11T00:00:00"/>
    <s v="F"/>
    <x v="0"/>
    <x v="1"/>
    <x v="0"/>
    <x v="3"/>
    <x v="3"/>
    <x v="6"/>
    <x v="2"/>
  </r>
  <r>
    <x v="1031"/>
    <x v="5"/>
    <x v="9"/>
    <n v="90.5"/>
    <n v="452.5"/>
    <x v="40"/>
    <d v="2025-02-17T00:00:00"/>
    <s v="M"/>
    <x v="0"/>
    <x v="2"/>
    <x v="0"/>
    <x v="3"/>
    <x v="6"/>
    <x v="6"/>
    <x v="1"/>
  </r>
  <r>
    <x v="1032"/>
    <x v="8"/>
    <x v="9"/>
    <n v="25.3"/>
    <n v="126.5"/>
    <x v="40"/>
    <d v="2025-02-14T00:00:00"/>
    <s v="F"/>
    <x v="0"/>
    <x v="2"/>
    <x v="0"/>
    <x v="3"/>
    <x v="5"/>
    <x v="6"/>
    <x v="2"/>
  </r>
  <r>
    <x v="1033"/>
    <x v="6"/>
    <x v="2"/>
    <n v="58.1"/>
    <n v="174.3"/>
    <x v="40"/>
    <d v="2025-02-14T00:00:00"/>
    <s v=""/>
    <x v="0"/>
    <x v="2"/>
    <x v="0"/>
    <x v="3"/>
    <x v="5"/>
    <x v="6"/>
    <x v="0"/>
  </r>
  <r>
    <x v="1034"/>
    <x v="2"/>
    <x v="2"/>
    <n v="74.900000000000006"/>
    <n v="224.70000000000002"/>
    <x v="40"/>
    <d v="2025-02-11T00:00:00"/>
    <s v="F"/>
    <x v="4"/>
    <x v="0"/>
    <x v="0"/>
    <x v="3"/>
    <x v="3"/>
    <x v="6"/>
    <x v="2"/>
  </r>
  <r>
    <x v="1035"/>
    <x v="4"/>
    <x v="1"/>
    <n v="32.5"/>
    <n v="65"/>
    <x v="40"/>
    <d v="2025-02-11T00:00:00"/>
    <s v="M"/>
    <x v="2"/>
    <x v="2"/>
    <x v="0"/>
    <x v="43"/>
    <x v="3"/>
    <x v="6"/>
    <x v="1"/>
  </r>
  <r>
    <x v="1036"/>
    <x v="4"/>
    <x v="9"/>
    <n v="62"/>
    <n v="310"/>
    <x v="40"/>
    <d v="2025-02-11T00:00:00"/>
    <s v="M"/>
    <x v="4"/>
    <x v="2"/>
    <x v="0"/>
    <x v="25"/>
    <x v="3"/>
    <x v="6"/>
    <x v="1"/>
  </r>
  <r>
    <x v="1037"/>
    <x v="13"/>
    <x v="13"/>
    <n v="28.9"/>
    <n v="173.39999999999998"/>
    <x v="40"/>
    <d v="2025-02-13T00:00:00"/>
    <s v="F"/>
    <x v="0"/>
    <x v="1"/>
    <x v="0"/>
    <x v="6"/>
    <x v="2"/>
    <x v="6"/>
    <x v="2"/>
  </r>
  <r>
    <x v="1038"/>
    <x v="6"/>
    <x v="8"/>
    <n v="42.8"/>
    <n v="342.4"/>
    <x v="40"/>
    <d v="2025-02-12T00:00:00"/>
    <s v="F"/>
    <x v="0"/>
    <x v="2"/>
    <x v="0"/>
    <x v="6"/>
    <x v="1"/>
    <x v="6"/>
    <x v="2"/>
  </r>
  <r>
    <x v="1039"/>
    <x v="8"/>
    <x v="8"/>
    <n v="39.4"/>
    <n v="315.2"/>
    <x v="40"/>
    <d v="2025-02-12T00:00:00"/>
    <s v="M"/>
    <x v="0"/>
    <x v="0"/>
    <x v="0"/>
    <x v="36"/>
    <x v="1"/>
    <x v="6"/>
    <x v="1"/>
  </r>
  <r>
    <x v="1040"/>
    <x v="18"/>
    <x v="2"/>
    <n v="66.400000000000006"/>
    <n v="199.20000000000002"/>
    <x v="40"/>
    <d v="2025-02-11T00:00:00"/>
    <s v=""/>
    <x v="2"/>
    <x v="1"/>
    <x v="0"/>
    <x v="7"/>
    <x v="3"/>
    <x v="6"/>
    <x v="0"/>
  </r>
  <r>
    <x v="1041"/>
    <x v="17"/>
    <x v="12"/>
    <n v="35.9"/>
    <n v="143.6"/>
    <x v="40"/>
    <d v="2025-02-17T00:00:00"/>
    <s v="F"/>
    <x v="1"/>
    <x v="0"/>
    <x v="0"/>
    <x v="7"/>
    <x v="6"/>
    <x v="6"/>
    <x v="2"/>
  </r>
  <r>
    <x v="1042"/>
    <x v="0"/>
    <x v="12"/>
    <n v="26.9"/>
    <n v="107.6"/>
    <x v="40"/>
    <d v="2025-02-11T00:00:00"/>
    <s v="M"/>
    <x v="1"/>
    <x v="0"/>
    <x v="0"/>
    <x v="7"/>
    <x v="3"/>
    <x v="6"/>
    <x v="1"/>
  </r>
  <r>
    <x v="1043"/>
    <x v="2"/>
    <x v="0"/>
    <n v="55.1"/>
    <n v="55.1"/>
    <x v="40"/>
    <d v="2025-02-11T00:00:00"/>
    <s v="F"/>
    <x v="0"/>
    <x v="0"/>
    <x v="0"/>
    <x v="7"/>
    <x v="3"/>
    <x v="6"/>
    <x v="2"/>
  </r>
  <r>
    <x v="1044"/>
    <x v="4"/>
    <x v="1"/>
    <n v="23.9"/>
    <n v="47.8"/>
    <x v="40"/>
    <d v="2025-02-11T00:00:00"/>
    <s v="M"/>
    <x v="0"/>
    <x v="2"/>
    <x v="0"/>
    <x v="8"/>
    <x v="3"/>
    <x v="6"/>
    <x v="1"/>
  </r>
  <r>
    <x v="1045"/>
    <x v="9"/>
    <x v="15"/>
    <n v="21.1"/>
    <n v="274.3"/>
    <x v="40"/>
    <d v="2025-02-18T00:00:00"/>
    <s v="F"/>
    <x v="0"/>
    <x v="1"/>
    <x v="0"/>
    <x v="8"/>
    <x v="9"/>
    <x v="6"/>
    <x v="2"/>
  </r>
  <r>
    <x v="1046"/>
    <x v="8"/>
    <x v="9"/>
    <n v="33.799999999999997"/>
    <n v="169"/>
    <x v="40"/>
    <d v="2025-02-12T00:00:00"/>
    <s v="F"/>
    <x v="0"/>
    <x v="0"/>
    <x v="0"/>
    <x v="8"/>
    <x v="1"/>
    <x v="6"/>
    <x v="2"/>
  </r>
  <r>
    <x v="1047"/>
    <x v="2"/>
    <x v="12"/>
    <n v="56.1"/>
    <n v="224.4"/>
    <x v="40"/>
    <d v="2025-02-10T00:00:00"/>
    <s v="F"/>
    <x v="3"/>
    <x v="2"/>
    <x v="0"/>
    <x v="9"/>
    <x v="7"/>
    <x v="6"/>
    <x v="2"/>
  </r>
  <r>
    <x v="1048"/>
    <x v="3"/>
    <x v="0"/>
    <n v="58.5"/>
    <n v="58.5"/>
    <x v="41"/>
    <d v="2025-02-15T00:00:00"/>
    <s v="F"/>
    <x v="1"/>
    <x v="2"/>
    <x v="0"/>
    <x v="9"/>
    <x v="5"/>
    <x v="6"/>
    <x v="2"/>
  </r>
  <r>
    <x v="1049"/>
    <x v="6"/>
    <x v="0"/>
    <n v="84.2"/>
    <n v="84.2"/>
    <x v="41"/>
    <d v="2025-02-13T00:00:00"/>
    <s v="M"/>
    <x v="3"/>
    <x v="0"/>
    <x v="0"/>
    <x v="11"/>
    <x v="1"/>
    <x v="6"/>
    <x v="1"/>
  </r>
  <r>
    <x v="1050"/>
    <x v="11"/>
    <x v="12"/>
    <n v="52"/>
    <n v="208"/>
    <x v="41"/>
    <d v="2025-02-14T00:00:00"/>
    <s v="M"/>
    <x v="0"/>
    <x v="0"/>
    <x v="0"/>
    <x v="11"/>
    <x v="2"/>
    <x v="6"/>
    <x v="1"/>
  </r>
  <r>
    <x v="1051"/>
    <x v="4"/>
    <x v="9"/>
    <n v="31.5"/>
    <n v="157.5"/>
    <x v="41"/>
    <d v="2025-02-12T00:00:00"/>
    <s v="F"/>
    <x v="0"/>
    <x v="2"/>
    <x v="0"/>
    <x v="11"/>
    <x v="3"/>
    <x v="6"/>
    <x v="2"/>
  </r>
  <r>
    <x v="1052"/>
    <x v="16"/>
    <x v="2"/>
    <n v="46.2"/>
    <n v="138.60000000000002"/>
    <x v="41"/>
    <d v="2025-02-12T00:00:00"/>
    <s v="M"/>
    <x v="0"/>
    <x v="0"/>
    <x v="0"/>
    <x v="53"/>
    <x v="3"/>
    <x v="6"/>
    <x v="1"/>
  </r>
  <r>
    <x v="1053"/>
    <x v="2"/>
    <x v="13"/>
    <n v="135"/>
    <n v="810"/>
    <x v="41"/>
    <d v="2025-02-12T00:00:00"/>
    <s v="F"/>
    <x v="1"/>
    <x v="2"/>
    <x v="0"/>
    <x v="18"/>
    <x v="3"/>
    <x v="6"/>
    <x v="2"/>
  </r>
  <r>
    <x v="1054"/>
    <x v="12"/>
    <x v="2"/>
    <n v="92.2"/>
    <n v="276.60000000000002"/>
    <x v="41"/>
    <d v="2025-02-15T00:00:00"/>
    <s v="M"/>
    <x v="0"/>
    <x v="0"/>
    <x v="0"/>
    <x v="21"/>
    <x v="5"/>
    <x v="6"/>
    <x v="1"/>
  </r>
  <r>
    <x v="1055"/>
    <x v="8"/>
    <x v="0"/>
    <n v="36.6"/>
    <n v="36.6"/>
    <x v="41"/>
    <d v="2025-02-13T00:00:00"/>
    <s v="M"/>
    <x v="2"/>
    <x v="2"/>
    <x v="0"/>
    <x v="21"/>
    <x v="1"/>
    <x v="6"/>
    <x v="1"/>
  </r>
  <r>
    <x v="1056"/>
    <x v="9"/>
    <x v="1"/>
    <n v="50.6"/>
    <n v="101.2"/>
    <x v="41"/>
    <d v="2025-02-14T00:00:00"/>
    <s v="F"/>
    <x v="0"/>
    <x v="0"/>
    <x v="0"/>
    <x v="2"/>
    <x v="2"/>
    <x v="6"/>
    <x v="2"/>
  </r>
  <r>
    <x v="1057"/>
    <x v="18"/>
    <x v="3"/>
    <n v="56.7"/>
    <n v="396.90000000000003"/>
    <x v="41"/>
    <d v="2025-02-14T00:00:00"/>
    <s v="F"/>
    <x v="0"/>
    <x v="0"/>
    <x v="0"/>
    <x v="2"/>
    <x v="2"/>
    <x v="6"/>
    <x v="2"/>
  </r>
  <r>
    <x v="1058"/>
    <x v="9"/>
    <x v="15"/>
    <n v="22.9"/>
    <n v="297.7"/>
    <x v="41"/>
    <d v="2025-02-12T00:00:00"/>
    <s v="F"/>
    <x v="0"/>
    <x v="1"/>
    <x v="0"/>
    <x v="44"/>
    <x v="3"/>
    <x v="6"/>
    <x v="2"/>
  </r>
  <r>
    <x v="1059"/>
    <x v="15"/>
    <x v="10"/>
    <n v="53.6"/>
    <n v="1018.4"/>
    <x v="41"/>
    <d v="2025-02-12T00:00:00"/>
    <s v="M"/>
    <x v="0"/>
    <x v="0"/>
    <x v="0"/>
    <x v="22"/>
    <x v="3"/>
    <x v="6"/>
    <x v="1"/>
  </r>
  <r>
    <x v="1060"/>
    <x v="18"/>
    <x v="1"/>
    <n v="30.2"/>
    <n v="60.4"/>
    <x v="41"/>
    <d v="2025-02-13T00:00:00"/>
    <s v=""/>
    <x v="2"/>
    <x v="2"/>
    <x v="0"/>
    <x v="3"/>
    <x v="1"/>
    <x v="6"/>
    <x v="0"/>
  </r>
  <r>
    <x v="1061"/>
    <x v="15"/>
    <x v="13"/>
    <n v="83.4"/>
    <n v="500.40000000000003"/>
    <x v="41"/>
    <d v="2025-02-12T00:00:00"/>
    <s v="M"/>
    <x v="1"/>
    <x v="2"/>
    <x v="0"/>
    <x v="3"/>
    <x v="3"/>
    <x v="6"/>
    <x v="1"/>
  </r>
  <r>
    <x v="1062"/>
    <x v="13"/>
    <x v="4"/>
    <n v="16.600000000000001"/>
    <n v="199.20000000000002"/>
    <x v="41"/>
    <d v="2025-02-13T00:00:00"/>
    <s v="M"/>
    <x v="1"/>
    <x v="0"/>
    <x v="0"/>
    <x v="3"/>
    <x v="1"/>
    <x v="6"/>
    <x v="1"/>
  </r>
  <r>
    <x v="1063"/>
    <x v="8"/>
    <x v="14"/>
    <n v="21.9"/>
    <n v="372.29999999999995"/>
    <x v="41"/>
    <d v="2025-02-13T00:00:00"/>
    <s v="F"/>
    <x v="4"/>
    <x v="1"/>
    <x v="0"/>
    <x v="3"/>
    <x v="1"/>
    <x v="6"/>
    <x v="2"/>
  </r>
  <r>
    <x v="1064"/>
    <x v="8"/>
    <x v="31"/>
    <n v="33.799999999999997"/>
    <n v="946.39999999999986"/>
    <x v="41"/>
    <d v="2025-02-13T00:00:00"/>
    <s v="M"/>
    <x v="2"/>
    <x v="4"/>
    <x v="0"/>
    <x v="3"/>
    <x v="1"/>
    <x v="6"/>
    <x v="1"/>
  </r>
  <r>
    <x v="1065"/>
    <x v="18"/>
    <x v="1"/>
    <n v="53.2"/>
    <n v="106.4"/>
    <x v="41"/>
    <d v="2025-02-11T00:00:00"/>
    <s v="M"/>
    <x v="1"/>
    <x v="0"/>
    <x v="0"/>
    <x v="3"/>
    <x v="7"/>
    <x v="6"/>
    <x v="1"/>
  </r>
  <r>
    <x v="1066"/>
    <x v="2"/>
    <x v="1"/>
    <n v="176.7"/>
    <n v="353.4"/>
    <x v="41"/>
    <d v="2025-02-14T00:00:00"/>
    <s v="F"/>
    <x v="2"/>
    <x v="0"/>
    <x v="0"/>
    <x v="3"/>
    <x v="2"/>
    <x v="6"/>
    <x v="2"/>
  </r>
  <r>
    <x v="1067"/>
    <x v="12"/>
    <x v="2"/>
    <n v="54"/>
    <n v="162"/>
    <x v="41"/>
    <d v="2025-02-14T00:00:00"/>
    <s v="M"/>
    <x v="0"/>
    <x v="1"/>
    <x v="0"/>
    <x v="3"/>
    <x v="2"/>
    <x v="6"/>
    <x v="1"/>
  </r>
  <r>
    <x v="1068"/>
    <x v="9"/>
    <x v="1"/>
    <n v="70.099999999999994"/>
    <n v="140.19999999999999"/>
    <x v="41"/>
    <d v="2025-02-19T00:00:00"/>
    <s v="F"/>
    <x v="3"/>
    <x v="2"/>
    <x v="0"/>
    <x v="3"/>
    <x v="9"/>
    <x v="6"/>
    <x v="2"/>
  </r>
  <r>
    <x v="1069"/>
    <x v="8"/>
    <x v="0"/>
    <n v="26.5"/>
    <n v="26.5"/>
    <x v="41"/>
    <d v="2025-02-13T00:00:00"/>
    <s v="F"/>
    <x v="1"/>
    <x v="0"/>
    <x v="0"/>
    <x v="3"/>
    <x v="1"/>
    <x v="6"/>
    <x v="2"/>
  </r>
  <r>
    <x v="1070"/>
    <x v="7"/>
    <x v="9"/>
    <n v="89"/>
    <n v="445"/>
    <x v="41"/>
    <d v="2025-02-13T00:00:00"/>
    <s v="M"/>
    <x v="2"/>
    <x v="4"/>
    <x v="0"/>
    <x v="3"/>
    <x v="1"/>
    <x v="6"/>
    <x v="1"/>
  </r>
  <r>
    <x v="1071"/>
    <x v="1"/>
    <x v="13"/>
    <n v="47"/>
    <n v="282"/>
    <x v="41"/>
    <d v="2025-02-14T00:00:00"/>
    <s v="F"/>
    <x v="3"/>
    <x v="0"/>
    <x v="0"/>
    <x v="24"/>
    <x v="2"/>
    <x v="6"/>
    <x v="2"/>
  </r>
  <r>
    <x v="1072"/>
    <x v="3"/>
    <x v="1"/>
    <n v="55.2"/>
    <n v="110.4"/>
    <x v="41"/>
    <d v="2025-02-14T00:00:00"/>
    <s v="M"/>
    <x v="1"/>
    <x v="1"/>
    <x v="0"/>
    <x v="6"/>
    <x v="2"/>
    <x v="6"/>
    <x v="1"/>
  </r>
  <r>
    <x v="1073"/>
    <x v="8"/>
    <x v="39"/>
    <n v="33.299999999999997"/>
    <n v="1398.6"/>
    <x v="41"/>
    <d v="2025-02-25T00:00:00"/>
    <s v="M"/>
    <x v="1"/>
    <x v="2"/>
    <x v="0"/>
    <x v="6"/>
    <x v="12"/>
    <x v="6"/>
    <x v="1"/>
  </r>
  <r>
    <x v="1074"/>
    <x v="2"/>
    <x v="12"/>
    <n v="110.9"/>
    <n v="443.6"/>
    <x v="42"/>
    <d v="2025-02-12T00:00:00"/>
    <s v="M"/>
    <x v="2"/>
    <x v="4"/>
    <x v="0"/>
    <x v="6"/>
    <x v="7"/>
    <x v="6"/>
    <x v="1"/>
  </r>
  <r>
    <x v="1075"/>
    <x v="2"/>
    <x v="13"/>
    <n v="67.3"/>
    <n v="403.79999999999995"/>
    <x v="42"/>
    <d v="2025-02-13T00:00:00"/>
    <s v="M"/>
    <x v="0"/>
    <x v="0"/>
    <x v="0"/>
    <x v="8"/>
    <x v="3"/>
    <x v="6"/>
    <x v="1"/>
  </r>
  <r>
    <x v="1076"/>
    <x v="6"/>
    <x v="2"/>
    <n v="69.7"/>
    <n v="209.10000000000002"/>
    <x v="42"/>
    <d v="2025-02-13T00:00:00"/>
    <s v="M"/>
    <x v="2"/>
    <x v="1"/>
    <x v="0"/>
    <x v="8"/>
    <x v="3"/>
    <x v="6"/>
    <x v="1"/>
  </r>
  <r>
    <x v="1077"/>
    <x v="5"/>
    <x v="0"/>
    <n v="39.1"/>
    <n v="39.1"/>
    <x v="42"/>
    <d v="2025-02-17T00:00:00"/>
    <s v="M"/>
    <x v="0"/>
    <x v="1"/>
    <x v="0"/>
    <x v="17"/>
    <x v="0"/>
    <x v="6"/>
    <x v="1"/>
  </r>
  <r>
    <x v="1078"/>
    <x v="2"/>
    <x v="2"/>
    <n v="208.6"/>
    <n v="625.79999999999995"/>
    <x v="42"/>
    <d v="2025-02-12T00:00:00"/>
    <s v="M"/>
    <x v="4"/>
    <x v="2"/>
    <x v="0"/>
    <x v="17"/>
    <x v="7"/>
    <x v="6"/>
    <x v="1"/>
  </r>
  <r>
    <x v="1079"/>
    <x v="15"/>
    <x v="2"/>
    <n v="27.8"/>
    <n v="83.4"/>
    <x v="42"/>
    <d v="2025-02-13T00:00:00"/>
    <s v="M"/>
    <x v="3"/>
    <x v="1"/>
    <x v="0"/>
    <x v="11"/>
    <x v="3"/>
    <x v="6"/>
    <x v="1"/>
  </r>
  <r>
    <x v="1080"/>
    <x v="10"/>
    <x v="9"/>
    <n v="29.4"/>
    <n v="147"/>
    <x v="42"/>
    <d v="2025-02-14T00:00:00"/>
    <s v="F"/>
    <x v="0"/>
    <x v="0"/>
    <x v="0"/>
    <x v="11"/>
    <x v="1"/>
    <x v="6"/>
    <x v="2"/>
  </r>
  <r>
    <x v="1081"/>
    <x v="9"/>
    <x v="1"/>
    <n v="29.2"/>
    <n v="58.4"/>
    <x v="42"/>
    <d v="2025-02-14T00:00:00"/>
    <s v="F"/>
    <x v="1"/>
    <x v="2"/>
    <x v="0"/>
    <x v="20"/>
    <x v="1"/>
    <x v="6"/>
    <x v="2"/>
  </r>
  <r>
    <x v="1082"/>
    <x v="10"/>
    <x v="9"/>
    <n v="26.5"/>
    <n v="132.5"/>
    <x v="42"/>
    <d v="2025-02-14T00:00:00"/>
    <s v="F"/>
    <x v="0"/>
    <x v="0"/>
    <x v="0"/>
    <x v="52"/>
    <x v="1"/>
    <x v="6"/>
    <x v="2"/>
  </r>
  <r>
    <x v="1083"/>
    <x v="5"/>
    <x v="0"/>
    <n v="30.3"/>
    <n v="30.3"/>
    <x v="42"/>
    <d v="2025-02-13T00:00:00"/>
    <s v="F"/>
    <x v="4"/>
    <x v="1"/>
    <x v="0"/>
    <x v="13"/>
    <x v="3"/>
    <x v="6"/>
    <x v="2"/>
  </r>
  <r>
    <x v="1084"/>
    <x v="16"/>
    <x v="4"/>
    <n v="39.700000000000003"/>
    <n v="476.40000000000003"/>
    <x v="42"/>
    <d v="2025-02-13T00:00:00"/>
    <s v="F"/>
    <x v="0"/>
    <x v="0"/>
    <x v="0"/>
    <x v="21"/>
    <x v="3"/>
    <x v="6"/>
    <x v="2"/>
  </r>
  <r>
    <x v="1085"/>
    <x v="7"/>
    <x v="7"/>
    <n v="58.9"/>
    <n v="589"/>
    <x v="42"/>
    <d v="2025-02-14T00:00:00"/>
    <s v="F"/>
    <x v="1"/>
    <x v="4"/>
    <x v="0"/>
    <x v="21"/>
    <x v="1"/>
    <x v="6"/>
    <x v="2"/>
  </r>
  <r>
    <x v="1086"/>
    <x v="2"/>
    <x v="1"/>
    <n v="174.1"/>
    <n v="348.2"/>
    <x v="42"/>
    <d v="2025-02-14T00:00:00"/>
    <s v="F"/>
    <x v="0"/>
    <x v="1"/>
    <x v="0"/>
    <x v="46"/>
    <x v="1"/>
    <x v="6"/>
    <x v="2"/>
  </r>
  <r>
    <x v="1087"/>
    <x v="6"/>
    <x v="1"/>
    <n v="70.8"/>
    <n v="141.6"/>
    <x v="42"/>
    <d v="2025-02-15T00:00:00"/>
    <s v="M"/>
    <x v="2"/>
    <x v="0"/>
    <x v="0"/>
    <x v="22"/>
    <x v="2"/>
    <x v="6"/>
    <x v="1"/>
  </r>
  <r>
    <x v="1088"/>
    <x v="7"/>
    <x v="1"/>
    <n v="57.4"/>
    <n v="114.8"/>
    <x v="42"/>
    <d v="2025-02-14T00:00:00"/>
    <s v="F"/>
    <x v="1"/>
    <x v="1"/>
    <x v="0"/>
    <x v="34"/>
    <x v="1"/>
    <x v="6"/>
    <x v="2"/>
  </r>
  <r>
    <x v="1089"/>
    <x v="0"/>
    <x v="1"/>
    <n v="28.5"/>
    <n v="57"/>
    <x v="42"/>
    <d v="2025-02-14T00:00:00"/>
    <s v="M"/>
    <x v="3"/>
    <x v="1"/>
    <x v="0"/>
    <x v="3"/>
    <x v="1"/>
    <x v="6"/>
    <x v="1"/>
  </r>
  <r>
    <x v="1090"/>
    <x v="2"/>
    <x v="28"/>
    <n v="106.6"/>
    <n v="2132"/>
    <x v="42"/>
    <d v="2025-02-13T00:00:00"/>
    <s v=""/>
    <x v="1"/>
    <x v="4"/>
    <x v="0"/>
    <x v="3"/>
    <x v="3"/>
    <x v="6"/>
    <x v="0"/>
  </r>
  <r>
    <x v="1091"/>
    <x v="2"/>
    <x v="2"/>
    <n v="119.7"/>
    <n v="359.1"/>
    <x v="42"/>
    <d v="2025-02-13T00:00:00"/>
    <s v="F"/>
    <x v="1"/>
    <x v="4"/>
    <x v="0"/>
    <x v="3"/>
    <x v="3"/>
    <x v="6"/>
    <x v="2"/>
  </r>
  <r>
    <x v="1092"/>
    <x v="18"/>
    <x v="0"/>
    <n v="73.3"/>
    <n v="73.3"/>
    <x v="42"/>
    <d v="2025-02-17T00:00:00"/>
    <s v="F"/>
    <x v="0"/>
    <x v="2"/>
    <x v="0"/>
    <x v="3"/>
    <x v="0"/>
    <x v="6"/>
    <x v="2"/>
  </r>
  <r>
    <x v="1093"/>
    <x v="0"/>
    <x v="1"/>
    <n v="25.8"/>
    <n v="51.6"/>
    <x v="42"/>
    <d v="2025-02-26T00:00:00"/>
    <s v="M"/>
    <x v="2"/>
    <x v="0"/>
    <x v="0"/>
    <x v="3"/>
    <x v="12"/>
    <x v="6"/>
    <x v="1"/>
  </r>
  <r>
    <x v="1094"/>
    <x v="17"/>
    <x v="2"/>
    <n v="49.1"/>
    <n v="147.30000000000001"/>
    <x v="42"/>
    <d v="2025-02-14T00:00:00"/>
    <s v="F"/>
    <x v="0"/>
    <x v="0"/>
    <x v="0"/>
    <x v="24"/>
    <x v="1"/>
    <x v="6"/>
    <x v="2"/>
  </r>
  <r>
    <x v="1095"/>
    <x v="1"/>
    <x v="0"/>
    <n v="44.9"/>
    <n v="44.9"/>
    <x v="42"/>
    <d v="2025-02-15T00:00:00"/>
    <s v="F"/>
    <x v="3"/>
    <x v="2"/>
    <x v="0"/>
    <x v="6"/>
    <x v="2"/>
    <x v="6"/>
    <x v="2"/>
  </r>
  <r>
    <x v="1096"/>
    <x v="15"/>
    <x v="3"/>
    <n v="29.9"/>
    <n v="209.29999999999998"/>
    <x v="42"/>
    <d v="2025-02-13T00:00:00"/>
    <s v="F"/>
    <x v="0"/>
    <x v="0"/>
    <x v="0"/>
    <x v="6"/>
    <x v="3"/>
    <x v="6"/>
    <x v="2"/>
  </r>
  <r>
    <x v="1097"/>
    <x v="7"/>
    <x v="1"/>
    <n v="54.3"/>
    <n v="108.6"/>
    <x v="43"/>
    <d v="2025-02-14T00:00:00"/>
    <s v="M"/>
    <x v="3"/>
    <x v="0"/>
    <x v="0"/>
    <x v="36"/>
    <x v="3"/>
    <x v="6"/>
    <x v="1"/>
  </r>
  <r>
    <x v="1098"/>
    <x v="9"/>
    <x v="12"/>
    <n v="57"/>
    <n v="228"/>
    <x v="43"/>
    <d v="2025-02-15T00:00:00"/>
    <s v="F"/>
    <x v="0"/>
    <x v="0"/>
    <x v="0"/>
    <x v="8"/>
    <x v="1"/>
    <x v="6"/>
    <x v="2"/>
  </r>
  <r>
    <x v="1099"/>
    <x v="2"/>
    <x v="0"/>
    <n v="139.19999999999999"/>
    <n v="139.19999999999999"/>
    <x v="43"/>
    <d v="2025-02-14T00:00:00"/>
    <s v="F"/>
    <x v="3"/>
    <x v="2"/>
    <x v="0"/>
    <x v="8"/>
    <x v="3"/>
    <x v="6"/>
    <x v="2"/>
  </r>
  <r>
    <x v="1100"/>
    <x v="10"/>
    <x v="0"/>
    <n v="33"/>
    <n v="33"/>
    <x v="43"/>
    <d v="2025-02-16T00:00:00"/>
    <s v="F"/>
    <x v="0"/>
    <x v="2"/>
    <x v="0"/>
    <x v="8"/>
    <x v="2"/>
    <x v="6"/>
    <x v="2"/>
  </r>
  <r>
    <x v="1101"/>
    <x v="11"/>
    <x v="13"/>
    <n v="80.2"/>
    <n v="481.20000000000005"/>
    <x v="43"/>
    <d v="2025-02-15T00:00:00"/>
    <s v="M"/>
    <x v="1"/>
    <x v="4"/>
    <x v="0"/>
    <x v="8"/>
    <x v="1"/>
    <x v="6"/>
    <x v="1"/>
  </r>
  <r>
    <x v="1102"/>
    <x v="18"/>
    <x v="8"/>
    <n v="49"/>
    <n v="392"/>
    <x v="43"/>
    <d v="2025-02-14T00:00:00"/>
    <s v=""/>
    <x v="2"/>
    <x v="1"/>
    <x v="0"/>
    <x v="9"/>
    <x v="3"/>
    <x v="6"/>
    <x v="0"/>
  </r>
  <r>
    <x v="1103"/>
    <x v="1"/>
    <x v="12"/>
    <n v="104.4"/>
    <n v="417.6"/>
    <x v="43"/>
    <d v="2025-02-13T00:00:00"/>
    <s v="F"/>
    <x v="0"/>
    <x v="0"/>
    <x v="0"/>
    <x v="9"/>
    <x v="7"/>
    <x v="6"/>
    <x v="2"/>
  </r>
  <r>
    <x v="1104"/>
    <x v="3"/>
    <x v="0"/>
    <n v="41.6"/>
    <n v="41.6"/>
    <x v="43"/>
    <d v="2025-02-16T00:00:00"/>
    <s v="M"/>
    <x v="3"/>
    <x v="0"/>
    <x v="0"/>
    <x v="11"/>
    <x v="2"/>
    <x v="6"/>
    <x v="1"/>
  </r>
  <r>
    <x v="1105"/>
    <x v="19"/>
    <x v="1"/>
    <n v="16.399999999999999"/>
    <n v="32.799999999999997"/>
    <x v="43"/>
    <d v="2025-02-14T00:00:00"/>
    <s v="O"/>
    <x v="0"/>
    <x v="2"/>
    <x v="0"/>
    <x v="11"/>
    <x v="3"/>
    <x v="6"/>
    <x v="3"/>
  </r>
  <r>
    <x v="1106"/>
    <x v="8"/>
    <x v="1"/>
    <n v="22"/>
    <n v="44"/>
    <x v="43"/>
    <d v="2025-02-14T00:00:00"/>
    <s v="M"/>
    <x v="2"/>
    <x v="2"/>
    <x v="0"/>
    <x v="53"/>
    <x v="3"/>
    <x v="6"/>
    <x v="1"/>
  </r>
  <r>
    <x v="1107"/>
    <x v="15"/>
    <x v="1"/>
    <n v="33.6"/>
    <n v="67.2"/>
    <x v="43"/>
    <d v="2025-02-18T00:00:00"/>
    <s v="F"/>
    <x v="0"/>
    <x v="0"/>
    <x v="0"/>
    <x v="21"/>
    <x v="0"/>
    <x v="6"/>
    <x v="2"/>
  </r>
  <r>
    <x v="1108"/>
    <x v="11"/>
    <x v="13"/>
    <n v="43"/>
    <n v="258"/>
    <x v="43"/>
    <d v="2025-02-14T00:00:00"/>
    <s v="F"/>
    <x v="2"/>
    <x v="0"/>
    <x v="0"/>
    <x v="21"/>
    <x v="3"/>
    <x v="6"/>
    <x v="2"/>
  </r>
  <r>
    <x v="1109"/>
    <x v="6"/>
    <x v="9"/>
    <n v="108.8"/>
    <n v="544"/>
    <x v="43"/>
    <d v="2025-02-16T00:00:00"/>
    <s v="F"/>
    <x v="4"/>
    <x v="2"/>
    <x v="0"/>
    <x v="21"/>
    <x v="2"/>
    <x v="6"/>
    <x v="2"/>
  </r>
  <r>
    <x v="1110"/>
    <x v="0"/>
    <x v="11"/>
    <n v="29.3"/>
    <n v="263.7"/>
    <x v="43"/>
    <d v="2025-02-15T00:00:00"/>
    <s v="M"/>
    <x v="4"/>
    <x v="2"/>
    <x v="0"/>
    <x v="21"/>
    <x v="1"/>
    <x v="6"/>
    <x v="1"/>
  </r>
  <r>
    <x v="1111"/>
    <x v="2"/>
    <x v="0"/>
    <n v="122.7"/>
    <n v="122.7"/>
    <x v="43"/>
    <d v="2025-02-16T00:00:00"/>
    <s v="O"/>
    <x v="0"/>
    <x v="2"/>
    <x v="0"/>
    <x v="1"/>
    <x v="2"/>
    <x v="6"/>
    <x v="3"/>
  </r>
  <r>
    <x v="1112"/>
    <x v="4"/>
    <x v="3"/>
    <n v="22.9"/>
    <n v="160.29999999999998"/>
    <x v="43"/>
    <d v="2025-02-14T00:00:00"/>
    <s v="F"/>
    <x v="0"/>
    <x v="0"/>
    <x v="0"/>
    <x v="42"/>
    <x v="3"/>
    <x v="6"/>
    <x v="2"/>
  </r>
  <r>
    <x v="1113"/>
    <x v="8"/>
    <x v="7"/>
    <n v="25.5"/>
    <n v="255"/>
    <x v="43"/>
    <d v="2025-02-20T00:00:00"/>
    <s v="F"/>
    <x v="0"/>
    <x v="0"/>
    <x v="0"/>
    <x v="33"/>
    <x v="6"/>
    <x v="6"/>
    <x v="2"/>
  </r>
  <r>
    <x v="1114"/>
    <x v="17"/>
    <x v="2"/>
    <n v="23.4"/>
    <n v="70.199999999999989"/>
    <x v="43"/>
    <d v="2025-02-17T00:00:00"/>
    <s v="F"/>
    <x v="0"/>
    <x v="2"/>
    <x v="0"/>
    <x v="3"/>
    <x v="5"/>
    <x v="6"/>
    <x v="2"/>
  </r>
  <r>
    <x v="1115"/>
    <x v="5"/>
    <x v="8"/>
    <n v="27.4"/>
    <n v="219.2"/>
    <x v="43"/>
    <d v="2025-02-16T00:00:00"/>
    <s v="F"/>
    <x v="2"/>
    <x v="0"/>
    <x v="0"/>
    <x v="3"/>
    <x v="2"/>
    <x v="6"/>
    <x v="2"/>
  </r>
  <r>
    <x v="1116"/>
    <x v="5"/>
    <x v="9"/>
    <n v="68.400000000000006"/>
    <n v="342"/>
    <x v="43"/>
    <d v="2025-02-14T00:00:00"/>
    <s v="F"/>
    <x v="0"/>
    <x v="0"/>
    <x v="0"/>
    <x v="3"/>
    <x v="3"/>
    <x v="6"/>
    <x v="2"/>
  </r>
  <r>
    <x v="1117"/>
    <x v="6"/>
    <x v="0"/>
    <n v="51.9"/>
    <n v="51.9"/>
    <x v="43"/>
    <d v="2025-02-13T00:00:00"/>
    <s v="F"/>
    <x v="0"/>
    <x v="0"/>
    <x v="0"/>
    <x v="3"/>
    <x v="7"/>
    <x v="6"/>
    <x v="2"/>
  </r>
  <r>
    <x v="1118"/>
    <x v="0"/>
    <x v="9"/>
    <n v="26.4"/>
    <n v="132"/>
    <x v="43"/>
    <d v="2025-02-16T00:00:00"/>
    <s v="F"/>
    <x v="0"/>
    <x v="2"/>
    <x v="0"/>
    <x v="3"/>
    <x v="2"/>
    <x v="6"/>
    <x v="2"/>
  </r>
  <r>
    <x v="1119"/>
    <x v="12"/>
    <x v="1"/>
    <n v="117"/>
    <n v="234"/>
    <x v="43"/>
    <d v="2025-02-14T00:00:00"/>
    <s v="F"/>
    <x v="1"/>
    <x v="1"/>
    <x v="0"/>
    <x v="3"/>
    <x v="3"/>
    <x v="6"/>
    <x v="2"/>
  </r>
  <r>
    <x v="1120"/>
    <x v="7"/>
    <x v="2"/>
    <n v="49.6"/>
    <n v="148.80000000000001"/>
    <x v="44"/>
    <d v="2025-02-16T00:00:00"/>
    <s v="F"/>
    <x v="0"/>
    <x v="0"/>
    <x v="0"/>
    <x v="3"/>
    <x v="1"/>
    <x v="6"/>
    <x v="2"/>
  </r>
  <r>
    <x v="1121"/>
    <x v="4"/>
    <x v="2"/>
    <n v="38"/>
    <n v="114"/>
    <x v="44"/>
    <d v="2025-02-17T00:00:00"/>
    <s v="M"/>
    <x v="2"/>
    <x v="4"/>
    <x v="0"/>
    <x v="3"/>
    <x v="2"/>
    <x v="6"/>
    <x v="1"/>
  </r>
  <r>
    <x v="1122"/>
    <x v="0"/>
    <x v="2"/>
    <n v="20.6"/>
    <n v="61.800000000000004"/>
    <x v="44"/>
    <d v="2025-02-16T00:00:00"/>
    <s v="F"/>
    <x v="4"/>
    <x v="2"/>
    <x v="0"/>
    <x v="3"/>
    <x v="1"/>
    <x v="6"/>
    <x v="2"/>
  </r>
  <r>
    <x v="1123"/>
    <x v="0"/>
    <x v="1"/>
    <n v="16"/>
    <n v="32"/>
    <x v="44"/>
    <d v="2025-02-15T00:00:00"/>
    <s v="M"/>
    <x v="1"/>
    <x v="1"/>
    <x v="0"/>
    <x v="49"/>
    <x v="3"/>
    <x v="6"/>
    <x v="1"/>
  </r>
  <r>
    <x v="1124"/>
    <x v="15"/>
    <x v="12"/>
    <n v="49.3"/>
    <n v="197.2"/>
    <x v="44"/>
    <d v="2025-02-15T00:00:00"/>
    <s v="F"/>
    <x v="2"/>
    <x v="0"/>
    <x v="0"/>
    <x v="23"/>
    <x v="3"/>
    <x v="6"/>
    <x v="2"/>
  </r>
  <r>
    <x v="1125"/>
    <x v="9"/>
    <x v="1"/>
    <n v="24.1"/>
    <n v="48.2"/>
    <x v="44"/>
    <d v="2025-02-18T00:00:00"/>
    <s v="F"/>
    <x v="0"/>
    <x v="0"/>
    <x v="0"/>
    <x v="6"/>
    <x v="5"/>
    <x v="6"/>
    <x v="2"/>
  </r>
  <r>
    <x v="1126"/>
    <x v="15"/>
    <x v="8"/>
    <n v="32.700000000000003"/>
    <n v="261.60000000000002"/>
    <x v="44"/>
    <d v="2025-02-15T00:00:00"/>
    <s v="F"/>
    <x v="1"/>
    <x v="0"/>
    <x v="0"/>
    <x v="6"/>
    <x v="3"/>
    <x v="6"/>
    <x v="2"/>
  </r>
  <r>
    <x v="1127"/>
    <x v="6"/>
    <x v="2"/>
    <n v="74.400000000000006"/>
    <n v="223.20000000000002"/>
    <x v="44"/>
    <d v="2025-02-15T00:00:00"/>
    <s v="F"/>
    <x v="3"/>
    <x v="2"/>
    <x v="0"/>
    <x v="8"/>
    <x v="3"/>
    <x v="6"/>
    <x v="2"/>
  </r>
  <r>
    <x v="1128"/>
    <x v="12"/>
    <x v="0"/>
    <n v="45.6"/>
    <n v="45.6"/>
    <x v="44"/>
    <d v="2025-02-18T00:00:00"/>
    <s v="F"/>
    <x v="4"/>
    <x v="0"/>
    <x v="0"/>
    <x v="8"/>
    <x v="5"/>
    <x v="6"/>
    <x v="2"/>
  </r>
  <r>
    <x v="1129"/>
    <x v="8"/>
    <x v="8"/>
    <n v="19.600000000000001"/>
    <n v="156.80000000000001"/>
    <x v="44"/>
    <d v="2025-02-27T00:00:00"/>
    <s v="F"/>
    <x v="0"/>
    <x v="0"/>
    <x v="0"/>
    <x v="8"/>
    <x v="10"/>
    <x v="6"/>
    <x v="2"/>
  </r>
  <r>
    <x v="1130"/>
    <x v="9"/>
    <x v="0"/>
    <n v="51.8"/>
    <n v="51.8"/>
    <x v="44"/>
    <d v="2025-02-15T00:00:00"/>
    <s v="F"/>
    <x v="1"/>
    <x v="0"/>
    <x v="0"/>
    <x v="8"/>
    <x v="3"/>
    <x v="6"/>
    <x v="2"/>
  </r>
  <r>
    <x v="1131"/>
    <x v="6"/>
    <x v="0"/>
    <n v="74.7"/>
    <n v="74.7"/>
    <x v="44"/>
    <d v="2025-02-15T00:00:00"/>
    <s v="M"/>
    <x v="0"/>
    <x v="1"/>
    <x v="0"/>
    <x v="8"/>
    <x v="3"/>
    <x v="6"/>
    <x v="1"/>
  </r>
  <r>
    <x v="1132"/>
    <x v="19"/>
    <x v="2"/>
    <n v="22.4"/>
    <n v="67.199999999999989"/>
    <x v="44"/>
    <d v="2025-02-15T00:00:00"/>
    <s v="F"/>
    <x v="1"/>
    <x v="2"/>
    <x v="0"/>
    <x v="9"/>
    <x v="3"/>
    <x v="6"/>
    <x v="2"/>
  </r>
  <r>
    <x v="1133"/>
    <x v="1"/>
    <x v="12"/>
    <n v="31.4"/>
    <n v="125.6"/>
    <x v="44"/>
    <d v="2025-02-15T00:00:00"/>
    <s v="F"/>
    <x v="1"/>
    <x v="0"/>
    <x v="0"/>
    <x v="9"/>
    <x v="3"/>
    <x v="6"/>
    <x v="2"/>
  </r>
  <r>
    <x v="1134"/>
    <x v="6"/>
    <x v="0"/>
    <n v="94"/>
    <n v="94"/>
    <x v="44"/>
    <d v="2025-02-14T00:00:00"/>
    <s v="F"/>
    <x v="1"/>
    <x v="2"/>
    <x v="0"/>
    <x v="10"/>
    <x v="7"/>
    <x v="6"/>
    <x v="2"/>
  </r>
  <r>
    <x v="1135"/>
    <x v="10"/>
    <x v="0"/>
    <n v="22.3"/>
    <n v="22.3"/>
    <x v="44"/>
    <d v="2025-02-15T00:00:00"/>
    <s v="M"/>
    <x v="4"/>
    <x v="0"/>
    <x v="0"/>
    <x v="20"/>
    <x v="3"/>
    <x v="6"/>
    <x v="1"/>
  </r>
  <r>
    <x v="1136"/>
    <x v="0"/>
    <x v="0"/>
    <n v="21.9"/>
    <n v="21.9"/>
    <x v="44"/>
    <d v="2025-02-17T00:00:00"/>
    <s v="F"/>
    <x v="2"/>
    <x v="0"/>
    <x v="0"/>
    <x v="21"/>
    <x v="2"/>
    <x v="6"/>
    <x v="2"/>
  </r>
  <r>
    <x v="1137"/>
    <x v="17"/>
    <x v="2"/>
    <n v="27"/>
    <n v="81"/>
    <x v="44"/>
    <d v="2025-02-16T00:00:00"/>
    <s v="F"/>
    <x v="4"/>
    <x v="2"/>
    <x v="0"/>
    <x v="2"/>
    <x v="1"/>
    <x v="6"/>
    <x v="2"/>
  </r>
  <r>
    <x v="1138"/>
    <x v="2"/>
    <x v="12"/>
    <n v="149.6"/>
    <n v="598.4"/>
    <x v="44"/>
    <d v="2025-02-14T00:00:00"/>
    <s v="F"/>
    <x v="4"/>
    <x v="0"/>
    <x v="0"/>
    <x v="22"/>
    <x v="7"/>
    <x v="6"/>
    <x v="2"/>
  </r>
  <r>
    <x v="1139"/>
    <x v="2"/>
    <x v="12"/>
    <n v="129.1"/>
    <n v="516.4"/>
    <x v="44"/>
    <d v="2025-02-24T00:00:00"/>
    <s v="M"/>
    <x v="0"/>
    <x v="1"/>
    <x v="0"/>
    <x v="3"/>
    <x v="14"/>
    <x v="6"/>
    <x v="1"/>
  </r>
  <r>
    <x v="1140"/>
    <x v="1"/>
    <x v="4"/>
    <n v="40.4"/>
    <n v="484.79999999999995"/>
    <x v="44"/>
    <d v="2025-02-15T00:00:00"/>
    <s v="M"/>
    <x v="1"/>
    <x v="1"/>
    <x v="0"/>
    <x v="3"/>
    <x v="3"/>
    <x v="6"/>
    <x v="1"/>
  </r>
  <r>
    <x v="1141"/>
    <x v="4"/>
    <x v="2"/>
    <n v="48.5"/>
    <n v="145.5"/>
    <x v="44"/>
    <d v="2025-02-16T00:00:00"/>
    <s v="F"/>
    <x v="0"/>
    <x v="4"/>
    <x v="0"/>
    <x v="3"/>
    <x v="1"/>
    <x v="6"/>
    <x v="2"/>
  </r>
  <r>
    <x v="1142"/>
    <x v="9"/>
    <x v="1"/>
    <n v="37.6"/>
    <n v="75.2"/>
    <x v="44"/>
    <d v="2025-02-16T00:00:00"/>
    <s v="F"/>
    <x v="1"/>
    <x v="2"/>
    <x v="0"/>
    <x v="3"/>
    <x v="1"/>
    <x v="6"/>
    <x v="2"/>
  </r>
  <r>
    <x v="1143"/>
    <x v="8"/>
    <x v="1"/>
    <n v="19.600000000000001"/>
    <n v="39.200000000000003"/>
    <x v="44"/>
    <d v="2025-02-15T00:00:00"/>
    <s v="M"/>
    <x v="3"/>
    <x v="4"/>
    <x v="0"/>
    <x v="43"/>
    <x v="3"/>
    <x v="6"/>
    <x v="1"/>
  </r>
  <r>
    <x v="1144"/>
    <x v="8"/>
    <x v="9"/>
    <n v="18.5"/>
    <n v="92.5"/>
    <x v="44"/>
    <d v="2025-02-15T00:00:00"/>
    <s v="F"/>
    <x v="2"/>
    <x v="1"/>
    <x v="0"/>
    <x v="6"/>
    <x v="3"/>
    <x v="6"/>
    <x v="2"/>
  </r>
  <r>
    <x v="1145"/>
    <x v="5"/>
    <x v="2"/>
    <n v="25.5"/>
    <n v="76.5"/>
    <x v="44"/>
    <d v="2025-02-16T00:00:00"/>
    <s v="F"/>
    <x v="4"/>
    <x v="1"/>
    <x v="0"/>
    <x v="6"/>
    <x v="1"/>
    <x v="6"/>
    <x v="2"/>
  </r>
  <r>
    <x v="1146"/>
    <x v="2"/>
    <x v="1"/>
    <n v="94.7"/>
    <n v="189.4"/>
    <x v="44"/>
    <d v="2025-02-15T00:00:00"/>
    <s v="F"/>
    <x v="2"/>
    <x v="0"/>
    <x v="0"/>
    <x v="36"/>
    <x v="3"/>
    <x v="6"/>
    <x v="2"/>
  </r>
  <r>
    <x v="1147"/>
    <x v="1"/>
    <x v="13"/>
    <n v="38.799999999999997"/>
    <n v="232.79999999999998"/>
    <x v="44"/>
    <d v="2025-02-19T00:00:00"/>
    <s v="F"/>
    <x v="2"/>
    <x v="2"/>
    <x v="0"/>
    <x v="8"/>
    <x v="0"/>
    <x v="6"/>
    <x v="2"/>
  </r>
  <r>
    <x v="1148"/>
    <x v="9"/>
    <x v="1"/>
    <n v="49.4"/>
    <n v="98.8"/>
    <x v="45"/>
    <d v="2025-02-23T00:00:00"/>
    <s v="M"/>
    <x v="4"/>
    <x v="1"/>
    <x v="0"/>
    <x v="8"/>
    <x v="9"/>
    <x v="6"/>
    <x v="1"/>
  </r>
  <r>
    <x v="1149"/>
    <x v="7"/>
    <x v="2"/>
    <n v="68"/>
    <n v="204"/>
    <x v="45"/>
    <d v="2025-02-18T00:00:00"/>
    <s v="M"/>
    <x v="0"/>
    <x v="2"/>
    <x v="0"/>
    <x v="8"/>
    <x v="2"/>
    <x v="6"/>
    <x v="1"/>
  </r>
  <r>
    <x v="1150"/>
    <x v="15"/>
    <x v="3"/>
    <n v="63.7"/>
    <n v="445.90000000000003"/>
    <x v="45"/>
    <d v="2025-02-16T00:00:00"/>
    <s v="F"/>
    <x v="2"/>
    <x v="2"/>
    <x v="0"/>
    <x v="8"/>
    <x v="3"/>
    <x v="6"/>
    <x v="2"/>
  </r>
  <r>
    <x v="1151"/>
    <x v="10"/>
    <x v="1"/>
    <n v="66.2"/>
    <n v="132.4"/>
    <x v="45"/>
    <d v="2025-02-16T00:00:00"/>
    <s v="F"/>
    <x v="4"/>
    <x v="2"/>
    <x v="0"/>
    <x v="17"/>
    <x v="3"/>
    <x v="6"/>
    <x v="2"/>
  </r>
  <r>
    <x v="1152"/>
    <x v="12"/>
    <x v="2"/>
    <n v="32.299999999999997"/>
    <n v="96.899999999999991"/>
    <x v="45"/>
    <d v="2025-02-16T00:00:00"/>
    <s v="O"/>
    <x v="2"/>
    <x v="1"/>
    <x v="0"/>
    <x v="9"/>
    <x v="3"/>
    <x v="6"/>
    <x v="3"/>
  </r>
  <r>
    <x v="1153"/>
    <x v="4"/>
    <x v="1"/>
    <n v="66.900000000000006"/>
    <n v="133.80000000000001"/>
    <x v="45"/>
    <d v="2025-02-18T00:00:00"/>
    <s v="M"/>
    <x v="1"/>
    <x v="0"/>
    <x v="0"/>
    <x v="11"/>
    <x v="2"/>
    <x v="6"/>
    <x v="1"/>
  </r>
  <r>
    <x v="1154"/>
    <x v="4"/>
    <x v="4"/>
    <n v="25.2"/>
    <n v="302.39999999999998"/>
    <x v="45"/>
    <d v="2025-02-19T00:00:00"/>
    <s v="F"/>
    <x v="0"/>
    <x v="1"/>
    <x v="0"/>
    <x v="11"/>
    <x v="5"/>
    <x v="6"/>
    <x v="2"/>
  </r>
  <r>
    <x v="1155"/>
    <x v="10"/>
    <x v="13"/>
    <n v="29.5"/>
    <n v="177"/>
    <x v="45"/>
    <d v="2025-02-16T00:00:00"/>
    <s v="M"/>
    <x v="2"/>
    <x v="0"/>
    <x v="0"/>
    <x v="11"/>
    <x v="3"/>
    <x v="6"/>
    <x v="1"/>
  </r>
  <r>
    <x v="1156"/>
    <x v="8"/>
    <x v="9"/>
    <n v="21.6"/>
    <n v="108"/>
    <x v="45"/>
    <d v="2025-02-17T00:00:00"/>
    <s v="F"/>
    <x v="0"/>
    <x v="2"/>
    <x v="0"/>
    <x v="32"/>
    <x v="1"/>
    <x v="6"/>
    <x v="2"/>
  </r>
  <r>
    <x v="1157"/>
    <x v="12"/>
    <x v="2"/>
    <n v="69"/>
    <n v="207"/>
    <x v="45"/>
    <d v="2025-02-16T00:00:00"/>
    <s v="F"/>
    <x v="0"/>
    <x v="0"/>
    <x v="0"/>
    <x v="18"/>
    <x v="3"/>
    <x v="6"/>
    <x v="2"/>
  </r>
  <r>
    <x v="1158"/>
    <x v="7"/>
    <x v="1"/>
    <n v="115"/>
    <n v="230"/>
    <x v="45"/>
    <d v="2025-02-19T00:00:00"/>
    <s v="M"/>
    <x v="0"/>
    <x v="2"/>
    <x v="0"/>
    <x v="18"/>
    <x v="5"/>
    <x v="6"/>
    <x v="1"/>
  </r>
  <r>
    <x v="1159"/>
    <x v="2"/>
    <x v="1"/>
    <n v="109.3"/>
    <n v="218.6"/>
    <x v="45"/>
    <d v="2025-02-17T00:00:00"/>
    <s v=""/>
    <x v="3"/>
    <x v="1"/>
    <x v="0"/>
    <x v="19"/>
    <x v="1"/>
    <x v="6"/>
    <x v="0"/>
  </r>
  <r>
    <x v="1160"/>
    <x v="9"/>
    <x v="1"/>
    <n v="66.599999999999994"/>
    <n v="133.19999999999999"/>
    <x v="45"/>
    <d v="2025-02-18T00:00:00"/>
    <s v=""/>
    <x v="4"/>
    <x v="1"/>
    <x v="0"/>
    <x v="19"/>
    <x v="2"/>
    <x v="6"/>
    <x v="0"/>
  </r>
  <r>
    <x v="1161"/>
    <x v="12"/>
    <x v="9"/>
    <n v="47.7"/>
    <n v="238.5"/>
    <x v="45"/>
    <d v="2025-02-16T00:00:00"/>
    <s v="M"/>
    <x v="3"/>
    <x v="2"/>
    <x v="0"/>
    <x v="21"/>
    <x v="3"/>
    <x v="6"/>
    <x v="1"/>
  </r>
  <r>
    <x v="1162"/>
    <x v="8"/>
    <x v="1"/>
    <n v="46"/>
    <n v="92"/>
    <x v="45"/>
    <d v="2025-02-16T00:00:00"/>
    <s v="F"/>
    <x v="4"/>
    <x v="4"/>
    <x v="0"/>
    <x v="22"/>
    <x v="3"/>
    <x v="6"/>
    <x v="2"/>
  </r>
  <r>
    <x v="1163"/>
    <x v="1"/>
    <x v="13"/>
    <n v="39.299999999999997"/>
    <n v="235.79999999999998"/>
    <x v="45"/>
    <d v="2025-02-17T00:00:00"/>
    <s v="M"/>
    <x v="3"/>
    <x v="2"/>
    <x v="0"/>
    <x v="3"/>
    <x v="1"/>
    <x v="6"/>
    <x v="1"/>
  </r>
  <r>
    <x v="1164"/>
    <x v="9"/>
    <x v="0"/>
    <n v="70.2"/>
    <n v="70.2"/>
    <x v="45"/>
    <d v="2025-02-16T00:00:00"/>
    <s v="F"/>
    <x v="0"/>
    <x v="4"/>
    <x v="0"/>
    <x v="3"/>
    <x v="3"/>
    <x v="6"/>
    <x v="2"/>
  </r>
  <r>
    <x v="1165"/>
    <x v="3"/>
    <x v="12"/>
    <n v="71.5"/>
    <n v="286"/>
    <x v="45"/>
    <d v="2025-02-15T00:00:00"/>
    <s v="F"/>
    <x v="1"/>
    <x v="2"/>
    <x v="0"/>
    <x v="3"/>
    <x v="7"/>
    <x v="6"/>
    <x v="2"/>
  </r>
  <r>
    <x v="1166"/>
    <x v="10"/>
    <x v="3"/>
    <n v="31"/>
    <n v="217"/>
    <x v="45"/>
    <d v="2025-02-22T00:00:00"/>
    <s v="F"/>
    <x v="3"/>
    <x v="2"/>
    <x v="0"/>
    <x v="3"/>
    <x v="6"/>
    <x v="6"/>
    <x v="2"/>
  </r>
  <r>
    <x v="1167"/>
    <x v="2"/>
    <x v="9"/>
    <n v="68.2"/>
    <n v="341"/>
    <x v="45"/>
    <d v="2025-02-20T00:00:00"/>
    <s v="F"/>
    <x v="0"/>
    <x v="2"/>
    <x v="0"/>
    <x v="3"/>
    <x v="0"/>
    <x v="6"/>
    <x v="2"/>
  </r>
  <r>
    <x v="1168"/>
    <x v="2"/>
    <x v="0"/>
    <n v="91.4"/>
    <n v="91.4"/>
    <x v="45"/>
    <d v="2025-02-19T00:00:00"/>
    <s v="F"/>
    <x v="1"/>
    <x v="2"/>
    <x v="0"/>
    <x v="6"/>
    <x v="5"/>
    <x v="6"/>
    <x v="2"/>
  </r>
  <r>
    <x v="1169"/>
    <x v="6"/>
    <x v="7"/>
    <n v="112.9"/>
    <n v="1129"/>
    <x v="45"/>
    <d v="2025-02-16T00:00:00"/>
    <s v="F"/>
    <x v="0"/>
    <x v="0"/>
    <x v="0"/>
    <x v="6"/>
    <x v="3"/>
    <x v="6"/>
    <x v="2"/>
  </r>
  <r>
    <x v="1170"/>
    <x v="17"/>
    <x v="11"/>
    <n v="33.700000000000003"/>
    <n v="303.3"/>
    <x v="45"/>
    <d v="2025-02-16T00:00:00"/>
    <s v="F"/>
    <x v="1"/>
    <x v="2"/>
    <x v="0"/>
    <x v="8"/>
    <x v="3"/>
    <x v="6"/>
    <x v="2"/>
  </r>
  <r>
    <x v="1171"/>
    <x v="15"/>
    <x v="7"/>
    <n v="35.299999999999997"/>
    <n v="353"/>
    <x v="45"/>
    <d v="2025-02-17T00:00:00"/>
    <s v="M"/>
    <x v="2"/>
    <x v="0"/>
    <x v="0"/>
    <x v="8"/>
    <x v="1"/>
    <x v="6"/>
    <x v="1"/>
  </r>
  <r>
    <x v="1172"/>
    <x v="18"/>
    <x v="2"/>
    <n v="45.6"/>
    <n v="136.80000000000001"/>
    <x v="45"/>
    <d v="2025-02-19T00:00:00"/>
    <s v="M"/>
    <x v="3"/>
    <x v="0"/>
    <x v="0"/>
    <x v="8"/>
    <x v="5"/>
    <x v="6"/>
    <x v="1"/>
  </r>
  <r>
    <x v="1173"/>
    <x v="7"/>
    <x v="3"/>
    <n v="47.1"/>
    <n v="329.7"/>
    <x v="45"/>
    <d v="2025-02-16T00:00:00"/>
    <s v="F"/>
    <x v="4"/>
    <x v="2"/>
    <x v="0"/>
    <x v="9"/>
    <x v="3"/>
    <x v="6"/>
    <x v="2"/>
  </r>
  <r>
    <x v="1174"/>
    <x v="8"/>
    <x v="9"/>
    <n v="16.2"/>
    <n v="81"/>
    <x v="45"/>
    <d v="2025-02-17T00:00:00"/>
    <s v="F"/>
    <x v="3"/>
    <x v="2"/>
    <x v="0"/>
    <x v="19"/>
    <x v="1"/>
    <x v="6"/>
    <x v="2"/>
  </r>
  <r>
    <x v="1175"/>
    <x v="1"/>
    <x v="1"/>
    <n v="159.69999999999999"/>
    <n v="319.39999999999998"/>
    <x v="46"/>
    <d v="2025-02-17T00:00:00"/>
    <s v="M"/>
    <x v="4"/>
    <x v="0"/>
    <x v="0"/>
    <x v="13"/>
    <x v="3"/>
    <x v="7"/>
    <x v="1"/>
  </r>
  <r>
    <x v="1176"/>
    <x v="8"/>
    <x v="12"/>
    <n v="19"/>
    <n v="76"/>
    <x v="46"/>
    <d v="2025-02-23T00:00:00"/>
    <s v="F"/>
    <x v="2"/>
    <x v="2"/>
    <x v="0"/>
    <x v="21"/>
    <x v="6"/>
    <x v="7"/>
    <x v="2"/>
  </r>
  <r>
    <x v="1177"/>
    <x v="6"/>
    <x v="13"/>
    <n v="91.1"/>
    <n v="546.59999999999991"/>
    <x v="46"/>
    <d v="2025-02-25T00:00:00"/>
    <s v="F"/>
    <x v="4"/>
    <x v="0"/>
    <x v="0"/>
    <x v="21"/>
    <x v="8"/>
    <x v="7"/>
    <x v="2"/>
  </r>
  <r>
    <x v="1178"/>
    <x v="2"/>
    <x v="9"/>
    <n v="94.1"/>
    <n v="470.5"/>
    <x v="46"/>
    <d v="2025-02-19T00:00:00"/>
    <s v=""/>
    <x v="1"/>
    <x v="1"/>
    <x v="0"/>
    <x v="21"/>
    <x v="2"/>
    <x v="7"/>
    <x v="0"/>
  </r>
  <r>
    <x v="1179"/>
    <x v="9"/>
    <x v="11"/>
    <n v="21.1"/>
    <n v="189.9"/>
    <x v="46"/>
    <d v="2025-02-17T00:00:00"/>
    <s v="F"/>
    <x v="4"/>
    <x v="2"/>
    <x v="0"/>
    <x v="51"/>
    <x v="3"/>
    <x v="7"/>
    <x v="2"/>
  </r>
  <r>
    <x v="1180"/>
    <x v="8"/>
    <x v="3"/>
    <n v="15.3"/>
    <n v="107.10000000000001"/>
    <x v="46"/>
    <d v="2025-02-24T00:00:00"/>
    <s v="F"/>
    <x v="2"/>
    <x v="0"/>
    <x v="0"/>
    <x v="1"/>
    <x v="9"/>
    <x v="7"/>
    <x v="2"/>
  </r>
  <r>
    <x v="1181"/>
    <x v="15"/>
    <x v="12"/>
    <n v="21.3"/>
    <n v="85.2"/>
    <x v="46"/>
    <d v="2025-02-19T00:00:00"/>
    <s v="M"/>
    <x v="1"/>
    <x v="0"/>
    <x v="0"/>
    <x v="3"/>
    <x v="2"/>
    <x v="7"/>
    <x v="1"/>
  </r>
  <r>
    <x v="1182"/>
    <x v="0"/>
    <x v="1"/>
    <n v="23.2"/>
    <n v="46.4"/>
    <x v="46"/>
    <d v="2025-02-16T00:00:00"/>
    <s v=""/>
    <x v="3"/>
    <x v="1"/>
    <x v="0"/>
    <x v="3"/>
    <x v="7"/>
    <x v="7"/>
    <x v="0"/>
  </r>
  <r>
    <x v="1183"/>
    <x v="4"/>
    <x v="2"/>
    <n v="25.7"/>
    <n v="77.099999999999994"/>
    <x v="46"/>
    <d v="2025-02-17T00:00:00"/>
    <s v="M"/>
    <x v="4"/>
    <x v="0"/>
    <x v="0"/>
    <x v="3"/>
    <x v="3"/>
    <x v="7"/>
    <x v="1"/>
  </r>
  <r>
    <x v="1184"/>
    <x v="0"/>
    <x v="11"/>
    <n v="31.6"/>
    <n v="284.40000000000003"/>
    <x v="46"/>
    <d v="2025-02-18T00:00:00"/>
    <s v="F"/>
    <x v="0"/>
    <x v="0"/>
    <x v="0"/>
    <x v="3"/>
    <x v="1"/>
    <x v="7"/>
    <x v="2"/>
  </r>
  <r>
    <x v="1185"/>
    <x v="6"/>
    <x v="0"/>
    <n v="64.2"/>
    <n v="64.2"/>
    <x v="46"/>
    <d v="2025-02-21T00:00:00"/>
    <s v="M"/>
    <x v="0"/>
    <x v="0"/>
    <x v="0"/>
    <x v="3"/>
    <x v="0"/>
    <x v="7"/>
    <x v="1"/>
  </r>
  <r>
    <x v="1186"/>
    <x v="8"/>
    <x v="1"/>
    <n v="55.8"/>
    <n v="111.6"/>
    <x v="46"/>
    <d v="2025-02-18T00:00:00"/>
    <s v=""/>
    <x v="0"/>
    <x v="0"/>
    <x v="0"/>
    <x v="3"/>
    <x v="1"/>
    <x v="7"/>
    <x v="0"/>
  </r>
  <r>
    <x v="1187"/>
    <x v="8"/>
    <x v="1"/>
    <n v="28.1"/>
    <n v="56.2"/>
    <x v="46"/>
    <d v="2025-02-17T00:00:00"/>
    <s v="F"/>
    <x v="4"/>
    <x v="1"/>
    <x v="0"/>
    <x v="3"/>
    <x v="3"/>
    <x v="7"/>
    <x v="2"/>
  </r>
  <r>
    <x v="1188"/>
    <x v="0"/>
    <x v="1"/>
    <n v="11.6"/>
    <n v="23.2"/>
    <x v="46"/>
    <d v="2025-02-18T00:00:00"/>
    <s v="F"/>
    <x v="1"/>
    <x v="0"/>
    <x v="0"/>
    <x v="24"/>
    <x v="1"/>
    <x v="7"/>
    <x v="2"/>
  </r>
  <r>
    <x v="1189"/>
    <x v="5"/>
    <x v="2"/>
    <n v="50.4"/>
    <n v="151.19999999999999"/>
    <x v="46"/>
    <d v="2025-02-17T00:00:00"/>
    <s v="M"/>
    <x v="4"/>
    <x v="2"/>
    <x v="0"/>
    <x v="25"/>
    <x v="3"/>
    <x v="7"/>
    <x v="1"/>
  </r>
  <r>
    <x v="1190"/>
    <x v="6"/>
    <x v="13"/>
    <n v="48.3"/>
    <n v="289.79999999999995"/>
    <x v="46"/>
    <d v="2025-02-20T00:00:00"/>
    <s v="F"/>
    <x v="0"/>
    <x v="0"/>
    <x v="0"/>
    <x v="25"/>
    <x v="5"/>
    <x v="7"/>
    <x v="2"/>
  </r>
  <r>
    <x v="1191"/>
    <x v="17"/>
    <x v="3"/>
    <n v="32.200000000000003"/>
    <n v="225.40000000000003"/>
    <x v="46"/>
    <d v="2025-02-18T00:00:00"/>
    <s v="F"/>
    <x v="2"/>
    <x v="0"/>
    <x v="0"/>
    <x v="25"/>
    <x v="1"/>
    <x v="7"/>
    <x v="2"/>
  </r>
  <r>
    <x v="1192"/>
    <x v="7"/>
    <x v="31"/>
    <n v="48.5"/>
    <n v="1358"/>
    <x v="46"/>
    <d v="2025-02-17T00:00:00"/>
    <s v="M"/>
    <x v="0"/>
    <x v="0"/>
    <x v="0"/>
    <x v="5"/>
    <x v="3"/>
    <x v="7"/>
    <x v="1"/>
  </r>
  <r>
    <x v="1193"/>
    <x v="2"/>
    <x v="9"/>
    <n v="62"/>
    <n v="310"/>
    <x v="46"/>
    <d v="2025-02-19T00:00:00"/>
    <s v="F"/>
    <x v="1"/>
    <x v="0"/>
    <x v="0"/>
    <x v="6"/>
    <x v="2"/>
    <x v="7"/>
    <x v="2"/>
  </r>
  <r>
    <x v="1194"/>
    <x v="8"/>
    <x v="2"/>
    <n v="32.1"/>
    <n v="96.300000000000011"/>
    <x v="47"/>
    <d v="2025-02-19T00:00:00"/>
    <s v="M"/>
    <x v="0"/>
    <x v="0"/>
    <x v="0"/>
    <x v="6"/>
    <x v="1"/>
    <x v="7"/>
    <x v="1"/>
  </r>
  <r>
    <x v="1195"/>
    <x v="12"/>
    <x v="2"/>
    <n v="106.1"/>
    <n v="318.29999999999995"/>
    <x v="47"/>
    <d v="2025-02-19T00:00:00"/>
    <s v="M"/>
    <x v="0"/>
    <x v="1"/>
    <x v="0"/>
    <x v="7"/>
    <x v="1"/>
    <x v="7"/>
    <x v="1"/>
  </r>
  <r>
    <x v="1196"/>
    <x v="10"/>
    <x v="2"/>
    <n v="23.5"/>
    <n v="70.5"/>
    <x v="47"/>
    <d v="2025-02-20T00:00:00"/>
    <s v="M"/>
    <x v="0"/>
    <x v="4"/>
    <x v="0"/>
    <x v="7"/>
    <x v="2"/>
    <x v="7"/>
    <x v="1"/>
  </r>
  <r>
    <x v="1197"/>
    <x v="1"/>
    <x v="1"/>
    <n v="35.6"/>
    <n v="71.2"/>
    <x v="47"/>
    <d v="2025-02-22T00:00:00"/>
    <s v="M"/>
    <x v="4"/>
    <x v="0"/>
    <x v="0"/>
    <x v="8"/>
    <x v="0"/>
    <x v="7"/>
    <x v="1"/>
  </r>
  <r>
    <x v="1198"/>
    <x v="1"/>
    <x v="1"/>
    <n v="63.5"/>
    <n v="127"/>
    <x v="47"/>
    <d v="2025-02-17T00:00:00"/>
    <s v="F"/>
    <x v="1"/>
    <x v="2"/>
    <x v="0"/>
    <x v="8"/>
    <x v="7"/>
    <x v="7"/>
    <x v="2"/>
  </r>
  <r>
    <x v="1199"/>
    <x v="6"/>
    <x v="3"/>
    <n v="82.9"/>
    <n v="580.30000000000007"/>
    <x v="47"/>
    <d v="2025-02-22T00:00:00"/>
    <s v="F"/>
    <x v="4"/>
    <x v="0"/>
    <x v="0"/>
    <x v="9"/>
    <x v="0"/>
    <x v="7"/>
    <x v="2"/>
  </r>
  <r>
    <x v="1200"/>
    <x v="6"/>
    <x v="1"/>
    <n v="83.6"/>
    <n v="167.2"/>
    <x v="47"/>
    <d v="2025-02-22T00:00:00"/>
    <s v="F"/>
    <x v="0"/>
    <x v="0"/>
    <x v="0"/>
    <x v="11"/>
    <x v="0"/>
    <x v="7"/>
    <x v="2"/>
  </r>
  <r>
    <x v="1201"/>
    <x v="4"/>
    <x v="1"/>
    <n v="29.4"/>
    <n v="58.8"/>
    <x v="47"/>
    <d v="2025-02-17T00:00:00"/>
    <s v="F"/>
    <x v="0"/>
    <x v="1"/>
    <x v="0"/>
    <x v="30"/>
    <x v="7"/>
    <x v="7"/>
    <x v="2"/>
  </r>
  <r>
    <x v="1202"/>
    <x v="2"/>
    <x v="2"/>
    <n v="107.1"/>
    <n v="321.29999999999995"/>
    <x v="47"/>
    <d v="2025-02-21T00:00:00"/>
    <s v="F"/>
    <x v="2"/>
    <x v="0"/>
    <x v="0"/>
    <x v="20"/>
    <x v="5"/>
    <x v="7"/>
    <x v="2"/>
  </r>
  <r>
    <x v="1203"/>
    <x v="2"/>
    <x v="0"/>
    <n v="62.7"/>
    <n v="62.7"/>
    <x v="47"/>
    <d v="2025-02-21T00:00:00"/>
    <s v="M"/>
    <x v="1"/>
    <x v="0"/>
    <x v="0"/>
    <x v="21"/>
    <x v="5"/>
    <x v="7"/>
    <x v="1"/>
  </r>
  <r>
    <x v="1204"/>
    <x v="11"/>
    <x v="0"/>
    <n v="41.6"/>
    <n v="41.6"/>
    <x v="47"/>
    <d v="2025-02-18T00:00:00"/>
    <s v="M"/>
    <x v="0"/>
    <x v="1"/>
    <x v="0"/>
    <x v="1"/>
    <x v="3"/>
    <x v="7"/>
    <x v="1"/>
  </r>
  <r>
    <x v="1205"/>
    <x v="6"/>
    <x v="0"/>
    <n v="44.2"/>
    <n v="44.2"/>
    <x v="47"/>
    <d v="2025-02-18T00:00:00"/>
    <s v="O"/>
    <x v="0"/>
    <x v="1"/>
    <x v="0"/>
    <x v="1"/>
    <x v="3"/>
    <x v="7"/>
    <x v="3"/>
  </r>
  <r>
    <x v="1206"/>
    <x v="4"/>
    <x v="13"/>
    <n v="40.4"/>
    <n v="242.39999999999998"/>
    <x v="47"/>
    <d v="2025-03-02T00:00:00"/>
    <s v="F"/>
    <x v="2"/>
    <x v="0"/>
    <x v="0"/>
    <x v="22"/>
    <x v="10"/>
    <x v="7"/>
    <x v="2"/>
  </r>
  <r>
    <x v="1207"/>
    <x v="15"/>
    <x v="13"/>
    <n v="59.6"/>
    <n v="357.6"/>
    <x v="47"/>
    <d v="2025-02-18T00:00:00"/>
    <s v="F"/>
    <x v="4"/>
    <x v="0"/>
    <x v="0"/>
    <x v="34"/>
    <x v="3"/>
    <x v="7"/>
    <x v="2"/>
  </r>
  <r>
    <x v="1208"/>
    <x v="17"/>
    <x v="4"/>
    <n v="63.8"/>
    <n v="765.59999999999991"/>
    <x v="47"/>
    <d v="2025-02-18T00:00:00"/>
    <s v="M"/>
    <x v="1"/>
    <x v="0"/>
    <x v="0"/>
    <x v="3"/>
    <x v="3"/>
    <x v="7"/>
    <x v="1"/>
  </r>
  <r>
    <x v="1209"/>
    <x v="9"/>
    <x v="13"/>
    <n v="30.8"/>
    <n v="184.8"/>
    <x v="47"/>
    <d v="2025-02-19T00:00:00"/>
    <s v="M"/>
    <x v="4"/>
    <x v="0"/>
    <x v="0"/>
    <x v="3"/>
    <x v="1"/>
    <x v="7"/>
    <x v="1"/>
  </r>
  <r>
    <x v="1210"/>
    <x v="1"/>
    <x v="1"/>
    <n v="41.5"/>
    <n v="83"/>
    <x v="47"/>
    <d v="2025-02-20T00:00:00"/>
    <s v="O"/>
    <x v="0"/>
    <x v="0"/>
    <x v="0"/>
    <x v="3"/>
    <x v="2"/>
    <x v="7"/>
    <x v="3"/>
  </r>
  <r>
    <x v="1211"/>
    <x v="10"/>
    <x v="12"/>
    <n v="44.7"/>
    <n v="178.8"/>
    <x v="47"/>
    <d v="2025-02-19T00:00:00"/>
    <s v="F"/>
    <x v="2"/>
    <x v="1"/>
    <x v="0"/>
    <x v="3"/>
    <x v="1"/>
    <x v="7"/>
    <x v="2"/>
  </r>
  <r>
    <x v="1212"/>
    <x v="12"/>
    <x v="1"/>
    <n v="64.099999999999994"/>
    <n v="128.19999999999999"/>
    <x v="47"/>
    <d v="2025-02-21T00:00:00"/>
    <s v="F"/>
    <x v="1"/>
    <x v="4"/>
    <x v="0"/>
    <x v="3"/>
    <x v="5"/>
    <x v="7"/>
    <x v="2"/>
  </r>
  <r>
    <x v="1213"/>
    <x v="8"/>
    <x v="0"/>
    <n v="15.9"/>
    <n v="15.9"/>
    <x v="47"/>
    <d v="2025-02-20T00:00:00"/>
    <s v=""/>
    <x v="1"/>
    <x v="0"/>
    <x v="0"/>
    <x v="3"/>
    <x v="2"/>
    <x v="7"/>
    <x v="0"/>
  </r>
  <r>
    <x v="1214"/>
    <x v="6"/>
    <x v="1"/>
    <n v="78.7"/>
    <n v="157.4"/>
    <x v="47"/>
    <d v="2025-02-17T00:00:00"/>
    <s v="F"/>
    <x v="2"/>
    <x v="1"/>
    <x v="0"/>
    <x v="3"/>
    <x v="7"/>
    <x v="7"/>
    <x v="2"/>
  </r>
  <r>
    <x v="1215"/>
    <x v="5"/>
    <x v="4"/>
    <n v="29.6"/>
    <n v="355.20000000000005"/>
    <x v="47"/>
    <d v="2025-02-21T00:00:00"/>
    <s v="M"/>
    <x v="2"/>
    <x v="4"/>
    <x v="0"/>
    <x v="3"/>
    <x v="5"/>
    <x v="7"/>
    <x v="1"/>
  </r>
  <r>
    <x v="1216"/>
    <x v="8"/>
    <x v="12"/>
    <n v="21.5"/>
    <n v="86"/>
    <x v="47"/>
    <d v="2025-02-20T00:00:00"/>
    <s v="M"/>
    <x v="1"/>
    <x v="0"/>
    <x v="0"/>
    <x v="3"/>
    <x v="2"/>
    <x v="7"/>
    <x v="1"/>
  </r>
  <r>
    <x v="1217"/>
    <x v="9"/>
    <x v="2"/>
    <n v="74.900000000000006"/>
    <n v="224.70000000000002"/>
    <x v="47"/>
    <d v="2025-02-26T00:00:00"/>
    <s v="M"/>
    <x v="3"/>
    <x v="1"/>
    <x v="0"/>
    <x v="3"/>
    <x v="8"/>
    <x v="7"/>
    <x v="1"/>
  </r>
  <r>
    <x v="1218"/>
    <x v="10"/>
    <x v="13"/>
    <n v="45"/>
    <n v="270"/>
    <x v="47"/>
    <d v="2025-02-22T00:00:00"/>
    <s v="F"/>
    <x v="2"/>
    <x v="0"/>
    <x v="0"/>
    <x v="3"/>
    <x v="0"/>
    <x v="7"/>
    <x v="2"/>
  </r>
  <r>
    <x v="1219"/>
    <x v="7"/>
    <x v="33"/>
    <n v="37.9"/>
    <n v="1288.5999999999999"/>
    <x v="47"/>
    <d v="2025-02-18T00:00:00"/>
    <s v="M"/>
    <x v="0"/>
    <x v="0"/>
    <x v="0"/>
    <x v="3"/>
    <x v="3"/>
    <x v="7"/>
    <x v="1"/>
  </r>
  <r>
    <x v="1220"/>
    <x v="6"/>
    <x v="2"/>
    <n v="56.6"/>
    <n v="169.8"/>
    <x v="47"/>
    <d v="2025-02-18T00:00:00"/>
    <s v="M"/>
    <x v="3"/>
    <x v="0"/>
    <x v="0"/>
    <x v="3"/>
    <x v="3"/>
    <x v="7"/>
    <x v="1"/>
  </r>
  <r>
    <x v="1221"/>
    <x v="3"/>
    <x v="15"/>
    <n v="84.5"/>
    <n v="1098.5"/>
    <x v="47"/>
    <d v="2025-02-20T00:00:00"/>
    <s v="F"/>
    <x v="1"/>
    <x v="4"/>
    <x v="0"/>
    <x v="3"/>
    <x v="2"/>
    <x v="7"/>
    <x v="2"/>
  </r>
  <r>
    <x v="1222"/>
    <x v="2"/>
    <x v="9"/>
    <n v="105.4"/>
    <n v="527"/>
    <x v="47"/>
    <d v="2025-02-19T00:00:00"/>
    <s v="F"/>
    <x v="1"/>
    <x v="1"/>
    <x v="0"/>
    <x v="3"/>
    <x v="1"/>
    <x v="7"/>
    <x v="2"/>
  </r>
  <r>
    <x v="1223"/>
    <x v="18"/>
    <x v="3"/>
    <n v="39.4"/>
    <n v="275.8"/>
    <x v="48"/>
    <d v="2025-02-18T00:00:00"/>
    <s v="M"/>
    <x v="1"/>
    <x v="0"/>
    <x v="0"/>
    <x v="37"/>
    <x v="7"/>
    <x v="7"/>
    <x v="1"/>
  </r>
  <r>
    <x v="1224"/>
    <x v="19"/>
    <x v="2"/>
    <n v="38"/>
    <n v="114"/>
    <x v="48"/>
    <d v="2025-02-21T00:00:00"/>
    <s v="M"/>
    <x v="4"/>
    <x v="1"/>
    <x v="0"/>
    <x v="6"/>
    <x v="2"/>
    <x v="7"/>
    <x v="1"/>
  </r>
  <r>
    <x v="1225"/>
    <x v="17"/>
    <x v="12"/>
    <n v="42.5"/>
    <n v="170"/>
    <x v="48"/>
    <d v="2025-02-20T00:00:00"/>
    <s v=""/>
    <x v="0"/>
    <x v="0"/>
    <x v="0"/>
    <x v="6"/>
    <x v="1"/>
    <x v="7"/>
    <x v="0"/>
  </r>
  <r>
    <x v="1226"/>
    <x v="15"/>
    <x v="0"/>
    <n v="62.3"/>
    <n v="62.3"/>
    <x v="48"/>
    <d v="2025-02-27T00:00:00"/>
    <s v="M"/>
    <x v="0"/>
    <x v="2"/>
    <x v="0"/>
    <x v="6"/>
    <x v="8"/>
    <x v="7"/>
    <x v="1"/>
  </r>
  <r>
    <x v="1227"/>
    <x v="6"/>
    <x v="9"/>
    <n v="49.1"/>
    <n v="245.5"/>
    <x v="48"/>
    <d v="2025-02-20T00:00:00"/>
    <s v="F"/>
    <x v="1"/>
    <x v="2"/>
    <x v="0"/>
    <x v="7"/>
    <x v="1"/>
    <x v="7"/>
    <x v="2"/>
  </r>
  <r>
    <x v="1228"/>
    <x v="3"/>
    <x v="1"/>
    <n v="30.5"/>
    <n v="61"/>
    <x v="48"/>
    <d v="2025-02-21T00:00:00"/>
    <s v="M"/>
    <x v="0"/>
    <x v="2"/>
    <x v="0"/>
    <x v="8"/>
    <x v="2"/>
    <x v="7"/>
    <x v="1"/>
  </r>
  <r>
    <x v="1229"/>
    <x v="2"/>
    <x v="1"/>
    <n v="154.80000000000001"/>
    <n v="309.60000000000002"/>
    <x v="48"/>
    <d v="2025-02-21T00:00:00"/>
    <s v="F"/>
    <x v="1"/>
    <x v="4"/>
    <x v="0"/>
    <x v="8"/>
    <x v="2"/>
    <x v="7"/>
    <x v="2"/>
  </r>
  <r>
    <x v="1230"/>
    <x v="6"/>
    <x v="0"/>
    <n v="45"/>
    <n v="45"/>
    <x v="48"/>
    <d v="2025-02-22T00:00:00"/>
    <s v="M"/>
    <x v="3"/>
    <x v="1"/>
    <x v="0"/>
    <x v="8"/>
    <x v="5"/>
    <x v="7"/>
    <x v="1"/>
  </r>
  <r>
    <x v="1231"/>
    <x v="0"/>
    <x v="3"/>
    <n v="15.3"/>
    <n v="107.10000000000001"/>
    <x v="48"/>
    <d v="2025-02-19T00:00:00"/>
    <s v="M"/>
    <x v="0"/>
    <x v="2"/>
    <x v="0"/>
    <x v="8"/>
    <x v="3"/>
    <x v="7"/>
    <x v="1"/>
  </r>
  <r>
    <x v="1232"/>
    <x v="2"/>
    <x v="5"/>
    <n v="88.6"/>
    <n v="974.59999999999991"/>
    <x v="48"/>
    <d v="2025-02-21T00:00:00"/>
    <s v="F"/>
    <x v="0"/>
    <x v="4"/>
    <x v="0"/>
    <x v="17"/>
    <x v="2"/>
    <x v="7"/>
    <x v="2"/>
  </r>
  <r>
    <x v="1233"/>
    <x v="9"/>
    <x v="1"/>
    <n v="49.7"/>
    <n v="99.4"/>
    <x v="48"/>
    <d v="2025-02-20T00:00:00"/>
    <s v="O"/>
    <x v="4"/>
    <x v="0"/>
    <x v="0"/>
    <x v="10"/>
    <x v="1"/>
    <x v="7"/>
    <x v="3"/>
  </r>
  <r>
    <x v="1234"/>
    <x v="10"/>
    <x v="0"/>
    <n v="29"/>
    <n v="29"/>
    <x v="48"/>
    <d v="2025-02-19T00:00:00"/>
    <s v="M"/>
    <x v="0"/>
    <x v="0"/>
    <x v="0"/>
    <x v="11"/>
    <x v="3"/>
    <x v="7"/>
    <x v="1"/>
  </r>
  <r>
    <x v="1235"/>
    <x v="1"/>
    <x v="0"/>
    <n v="60.7"/>
    <n v="60.7"/>
    <x v="48"/>
    <d v="2025-02-19T00:00:00"/>
    <s v="O"/>
    <x v="0"/>
    <x v="1"/>
    <x v="0"/>
    <x v="11"/>
    <x v="3"/>
    <x v="7"/>
    <x v="3"/>
  </r>
  <r>
    <x v="1236"/>
    <x v="17"/>
    <x v="12"/>
    <n v="87.4"/>
    <n v="349.6"/>
    <x v="48"/>
    <d v="2025-02-20T00:00:00"/>
    <s v=""/>
    <x v="0"/>
    <x v="0"/>
    <x v="0"/>
    <x v="11"/>
    <x v="1"/>
    <x v="7"/>
    <x v="0"/>
  </r>
  <r>
    <x v="1237"/>
    <x v="4"/>
    <x v="3"/>
    <n v="44.5"/>
    <n v="311.5"/>
    <x v="48"/>
    <d v="2025-02-22T00:00:00"/>
    <s v="F"/>
    <x v="2"/>
    <x v="2"/>
    <x v="0"/>
    <x v="19"/>
    <x v="5"/>
    <x v="7"/>
    <x v="2"/>
  </r>
  <r>
    <x v="1238"/>
    <x v="2"/>
    <x v="0"/>
    <n v="141"/>
    <n v="141"/>
    <x v="48"/>
    <d v="2025-02-19T00:00:00"/>
    <s v="M"/>
    <x v="4"/>
    <x v="2"/>
    <x v="0"/>
    <x v="19"/>
    <x v="3"/>
    <x v="7"/>
    <x v="1"/>
  </r>
  <r>
    <x v="1239"/>
    <x v="0"/>
    <x v="2"/>
    <n v="16.7"/>
    <n v="50.099999999999994"/>
    <x v="48"/>
    <d v="2025-02-26T00:00:00"/>
    <s v="F"/>
    <x v="0"/>
    <x v="0"/>
    <x v="0"/>
    <x v="20"/>
    <x v="9"/>
    <x v="7"/>
    <x v="2"/>
  </r>
  <r>
    <x v="1240"/>
    <x v="1"/>
    <x v="1"/>
    <n v="77.5"/>
    <n v="155"/>
    <x v="48"/>
    <d v="2025-02-19T00:00:00"/>
    <s v=""/>
    <x v="2"/>
    <x v="2"/>
    <x v="0"/>
    <x v="13"/>
    <x v="3"/>
    <x v="7"/>
    <x v="0"/>
  </r>
  <r>
    <x v="1241"/>
    <x v="2"/>
    <x v="1"/>
    <n v="163"/>
    <n v="326"/>
    <x v="48"/>
    <d v="2025-02-24T00:00:00"/>
    <s v="F"/>
    <x v="4"/>
    <x v="0"/>
    <x v="0"/>
    <x v="21"/>
    <x v="4"/>
    <x v="7"/>
    <x v="2"/>
  </r>
  <r>
    <x v="1242"/>
    <x v="4"/>
    <x v="11"/>
    <n v="21.4"/>
    <n v="192.6"/>
    <x v="48"/>
    <d v="2025-02-21T00:00:00"/>
    <s v="F"/>
    <x v="0"/>
    <x v="0"/>
    <x v="0"/>
    <x v="51"/>
    <x v="2"/>
    <x v="7"/>
    <x v="2"/>
  </r>
  <r>
    <x v="1243"/>
    <x v="10"/>
    <x v="5"/>
    <n v="31"/>
    <n v="341"/>
    <x v="48"/>
    <d v="2025-02-20T00:00:00"/>
    <s v="F"/>
    <x v="3"/>
    <x v="2"/>
    <x v="0"/>
    <x v="1"/>
    <x v="1"/>
    <x v="7"/>
    <x v="2"/>
  </r>
  <r>
    <x v="1244"/>
    <x v="7"/>
    <x v="1"/>
    <n v="34.299999999999997"/>
    <n v="68.599999999999994"/>
    <x v="48"/>
    <d v="2025-02-20T00:00:00"/>
    <s v="F"/>
    <x v="0"/>
    <x v="3"/>
    <x v="0"/>
    <x v="1"/>
    <x v="1"/>
    <x v="7"/>
    <x v="2"/>
  </r>
  <r>
    <x v="1245"/>
    <x v="17"/>
    <x v="9"/>
    <n v="48.2"/>
    <n v="241"/>
    <x v="48"/>
    <d v="2025-02-19T00:00:00"/>
    <s v="M"/>
    <x v="1"/>
    <x v="1"/>
    <x v="0"/>
    <x v="2"/>
    <x v="3"/>
    <x v="7"/>
    <x v="1"/>
  </r>
  <r>
    <x v="1246"/>
    <x v="10"/>
    <x v="0"/>
    <n v="51.4"/>
    <n v="51.4"/>
    <x v="48"/>
    <d v="2025-02-19T00:00:00"/>
    <s v="M"/>
    <x v="0"/>
    <x v="0"/>
    <x v="0"/>
    <x v="3"/>
    <x v="3"/>
    <x v="7"/>
    <x v="1"/>
  </r>
  <r>
    <x v="1247"/>
    <x v="2"/>
    <x v="9"/>
    <n v="117.2"/>
    <n v="586"/>
    <x v="48"/>
    <d v="2025-02-21T00:00:00"/>
    <s v="F"/>
    <x v="4"/>
    <x v="4"/>
    <x v="0"/>
    <x v="3"/>
    <x v="2"/>
    <x v="7"/>
    <x v="2"/>
  </r>
  <r>
    <x v="1248"/>
    <x v="8"/>
    <x v="0"/>
    <n v="38.1"/>
    <n v="38.1"/>
    <x v="48"/>
    <d v="2025-02-18T00:00:00"/>
    <s v="M"/>
    <x v="4"/>
    <x v="1"/>
    <x v="0"/>
    <x v="3"/>
    <x v="7"/>
    <x v="7"/>
    <x v="1"/>
  </r>
  <r>
    <x v="1249"/>
    <x v="0"/>
    <x v="1"/>
    <n v="44.1"/>
    <n v="88.2"/>
    <x v="48"/>
    <d v="2025-02-20T00:00:00"/>
    <s v="F"/>
    <x v="2"/>
    <x v="0"/>
    <x v="0"/>
    <x v="3"/>
    <x v="1"/>
    <x v="7"/>
    <x v="2"/>
  </r>
  <r>
    <x v="1250"/>
    <x v="15"/>
    <x v="12"/>
    <n v="80.5"/>
    <n v="322"/>
    <x v="48"/>
    <d v="2025-02-23T00:00:00"/>
    <s v="M"/>
    <x v="0"/>
    <x v="0"/>
    <x v="0"/>
    <x v="3"/>
    <x v="0"/>
    <x v="7"/>
    <x v="1"/>
  </r>
  <r>
    <x v="1251"/>
    <x v="18"/>
    <x v="12"/>
    <n v="33.6"/>
    <n v="134.4"/>
    <x v="48"/>
    <d v="2025-02-23T00:00:00"/>
    <s v=""/>
    <x v="0"/>
    <x v="2"/>
    <x v="0"/>
    <x v="3"/>
    <x v="0"/>
    <x v="7"/>
    <x v="0"/>
  </r>
  <r>
    <x v="1252"/>
    <x v="9"/>
    <x v="11"/>
    <n v="41.8"/>
    <n v="376.2"/>
    <x v="48"/>
    <d v="2025-02-19T00:00:00"/>
    <s v="F"/>
    <x v="0"/>
    <x v="1"/>
    <x v="0"/>
    <x v="3"/>
    <x v="3"/>
    <x v="7"/>
    <x v="2"/>
  </r>
  <r>
    <x v="1253"/>
    <x v="1"/>
    <x v="1"/>
    <n v="106.2"/>
    <n v="212.4"/>
    <x v="48"/>
    <d v="2025-02-18T00:00:00"/>
    <s v="F"/>
    <x v="4"/>
    <x v="2"/>
    <x v="0"/>
    <x v="3"/>
    <x v="7"/>
    <x v="7"/>
    <x v="2"/>
  </r>
  <r>
    <x v="1254"/>
    <x v="1"/>
    <x v="1"/>
    <n v="52.6"/>
    <n v="105.2"/>
    <x v="48"/>
    <d v="2025-02-19T00:00:00"/>
    <s v="F"/>
    <x v="0"/>
    <x v="2"/>
    <x v="0"/>
    <x v="5"/>
    <x v="3"/>
    <x v="7"/>
    <x v="2"/>
  </r>
  <r>
    <x v="1255"/>
    <x v="11"/>
    <x v="3"/>
    <n v="68.5"/>
    <n v="479.5"/>
    <x v="48"/>
    <d v="2025-02-19T00:00:00"/>
    <s v="F"/>
    <x v="1"/>
    <x v="0"/>
    <x v="0"/>
    <x v="5"/>
    <x v="3"/>
    <x v="7"/>
    <x v="2"/>
  </r>
  <r>
    <x v="1256"/>
    <x v="1"/>
    <x v="1"/>
    <n v="55.6"/>
    <n v="111.2"/>
    <x v="48"/>
    <d v="2025-02-20T00:00:00"/>
    <s v="M"/>
    <x v="1"/>
    <x v="2"/>
    <x v="0"/>
    <x v="6"/>
    <x v="1"/>
    <x v="7"/>
    <x v="1"/>
  </r>
  <r>
    <x v="1257"/>
    <x v="2"/>
    <x v="2"/>
    <n v="134.9"/>
    <n v="404.70000000000005"/>
    <x v="48"/>
    <d v="2025-02-19T00:00:00"/>
    <s v="M"/>
    <x v="1"/>
    <x v="1"/>
    <x v="0"/>
    <x v="6"/>
    <x v="3"/>
    <x v="7"/>
    <x v="1"/>
  </r>
  <r>
    <x v="1258"/>
    <x v="10"/>
    <x v="9"/>
    <n v="42.6"/>
    <n v="213"/>
    <x v="48"/>
    <d v="2025-02-19T00:00:00"/>
    <s v="M"/>
    <x v="0"/>
    <x v="0"/>
    <x v="0"/>
    <x v="6"/>
    <x v="3"/>
    <x v="7"/>
    <x v="1"/>
  </r>
  <r>
    <x v="1259"/>
    <x v="7"/>
    <x v="9"/>
    <n v="60.6"/>
    <n v="303"/>
    <x v="48"/>
    <d v="2025-02-20T00:00:00"/>
    <s v="M"/>
    <x v="4"/>
    <x v="0"/>
    <x v="0"/>
    <x v="6"/>
    <x v="1"/>
    <x v="7"/>
    <x v="1"/>
  </r>
  <r>
    <x v="1260"/>
    <x v="8"/>
    <x v="1"/>
    <n v="43.5"/>
    <n v="87"/>
    <x v="48"/>
    <d v="2025-02-19T00:00:00"/>
    <s v="M"/>
    <x v="4"/>
    <x v="0"/>
    <x v="0"/>
    <x v="7"/>
    <x v="3"/>
    <x v="7"/>
    <x v="1"/>
  </r>
  <r>
    <x v="1261"/>
    <x v="2"/>
    <x v="1"/>
    <n v="187.1"/>
    <n v="374.2"/>
    <x v="48"/>
    <d v="2025-02-19T00:00:00"/>
    <s v="M"/>
    <x v="1"/>
    <x v="2"/>
    <x v="0"/>
    <x v="8"/>
    <x v="3"/>
    <x v="7"/>
    <x v="1"/>
  </r>
  <r>
    <x v="1262"/>
    <x v="9"/>
    <x v="2"/>
    <n v="32"/>
    <n v="96"/>
    <x v="48"/>
    <d v="2025-02-20T00:00:00"/>
    <s v="M"/>
    <x v="0"/>
    <x v="0"/>
    <x v="0"/>
    <x v="8"/>
    <x v="1"/>
    <x v="7"/>
    <x v="1"/>
  </r>
  <r>
    <x v="1263"/>
    <x v="9"/>
    <x v="1"/>
    <n v="110.8"/>
    <n v="221.6"/>
    <x v="48"/>
    <d v="2025-02-18T00:00:00"/>
    <s v="M"/>
    <x v="0"/>
    <x v="2"/>
    <x v="0"/>
    <x v="8"/>
    <x v="7"/>
    <x v="7"/>
    <x v="1"/>
  </r>
  <r>
    <x v="1264"/>
    <x v="10"/>
    <x v="15"/>
    <n v="36.1"/>
    <n v="469.3"/>
    <x v="48"/>
    <d v="2025-02-21T00:00:00"/>
    <s v="F"/>
    <x v="0"/>
    <x v="1"/>
    <x v="0"/>
    <x v="8"/>
    <x v="2"/>
    <x v="7"/>
    <x v="2"/>
  </r>
  <r>
    <x v="1265"/>
    <x v="0"/>
    <x v="0"/>
    <n v="24.1"/>
    <n v="24.1"/>
    <x v="48"/>
    <d v="2025-02-20T00:00:00"/>
    <s v="F"/>
    <x v="4"/>
    <x v="2"/>
    <x v="0"/>
    <x v="8"/>
    <x v="1"/>
    <x v="7"/>
    <x v="2"/>
  </r>
  <r>
    <x v="1266"/>
    <x v="19"/>
    <x v="2"/>
    <n v="30.5"/>
    <n v="91.5"/>
    <x v="48"/>
    <d v="2025-02-20T00:00:00"/>
    <s v="M"/>
    <x v="1"/>
    <x v="0"/>
    <x v="0"/>
    <x v="8"/>
    <x v="1"/>
    <x v="7"/>
    <x v="1"/>
  </r>
  <r>
    <x v="1267"/>
    <x v="18"/>
    <x v="13"/>
    <n v="68.3"/>
    <n v="409.79999999999995"/>
    <x v="48"/>
    <d v="2025-02-21T00:00:00"/>
    <s v="M"/>
    <x v="0"/>
    <x v="0"/>
    <x v="0"/>
    <x v="8"/>
    <x v="2"/>
    <x v="7"/>
    <x v="1"/>
  </r>
  <r>
    <x v="1268"/>
    <x v="7"/>
    <x v="2"/>
    <n v="43.3"/>
    <n v="129.89999999999998"/>
    <x v="48"/>
    <d v="2025-02-22T00:00:00"/>
    <s v="F"/>
    <x v="0"/>
    <x v="0"/>
    <x v="0"/>
    <x v="17"/>
    <x v="5"/>
    <x v="7"/>
    <x v="2"/>
  </r>
  <r>
    <x v="1269"/>
    <x v="3"/>
    <x v="0"/>
    <n v="101.7"/>
    <n v="101.7"/>
    <x v="48"/>
    <d v="2025-02-21T00:00:00"/>
    <s v="F"/>
    <x v="0"/>
    <x v="1"/>
    <x v="0"/>
    <x v="17"/>
    <x v="2"/>
    <x v="7"/>
    <x v="2"/>
  </r>
  <r>
    <x v="1270"/>
    <x v="11"/>
    <x v="1"/>
    <n v="54.2"/>
    <n v="108.4"/>
    <x v="48"/>
    <d v="2025-02-19T00:00:00"/>
    <s v="F"/>
    <x v="0"/>
    <x v="1"/>
    <x v="0"/>
    <x v="17"/>
    <x v="3"/>
    <x v="7"/>
    <x v="2"/>
  </r>
  <r>
    <x v="1271"/>
    <x v="16"/>
    <x v="1"/>
    <n v="51"/>
    <n v="102"/>
    <x v="48"/>
    <d v="2025-02-18T00:00:00"/>
    <s v="M"/>
    <x v="1"/>
    <x v="0"/>
    <x v="0"/>
    <x v="26"/>
    <x v="7"/>
    <x v="7"/>
    <x v="1"/>
  </r>
  <r>
    <x v="1272"/>
    <x v="4"/>
    <x v="1"/>
    <n v="23.1"/>
    <n v="46.2"/>
    <x v="48"/>
    <d v="2025-02-21T00:00:00"/>
    <s v="M"/>
    <x v="1"/>
    <x v="0"/>
    <x v="0"/>
    <x v="10"/>
    <x v="2"/>
    <x v="7"/>
    <x v="1"/>
  </r>
  <r>
    <x v="1273"/>
    <x v="12"/>
    <x v="13"/>
    <n v="60.1"/>
    <n v="360.6"/>
    <x v="48"/>
    <d v="2025-02-18T00:00:00"/>
    <s v="F"/>
    <x v="3"/>
    <x v="0"/>
    <x v="0"/>
    <x v="11"/>
    <x v="7"/>
    <x v="7"/>
    <x v="2"/>
  </r>
  <r>
    <x v="1274"/>
    <x v="2"/>
    <x v="3"/>
    <n v="87.5"/>
    <n v="612.5"/>
    <x v="48"/>
    <d v="2025-02-20T00:00:00"/>
    <s v="F"/>
    <x v="0"/>
    <x v="1"/>
    <x v="0"/>
    <x v="11"/>
    <x v="1"/>
    <x v="7"/>
    <x v="2"/>
  </r>
  <r>
    <x v="1275"/>
    <x v="1"/>
    <x v="2"/>
    <n v="51"/>
    <n v="153"/>
    <x v="48"/>
    <d v="2025-02-19T00:00:00"/>
    <s v="F"/>
    <x v="1"/>
    <x v="0"/>
    <x v="0"/>
    <x v="11"/>
    <x v="3"/>
    <x v="7"/>
    <x v="2"/>
  </r>
  <r>
    <x v="1276"/>
    <x v="8"/>
    <x v="12"/>
    <n v="19.2"/>
    <n v="76.8"/>
    <x v="48"/>
    <d v="2025-02-20T00:00:00"/>
    <s v="F"/>
    <x v="0"/>
    <x v="0"/>
    <x v="0"/>
    <x v="11"/>
    <x v="1"/>
    <x v="7"/>
    <x v="2"/>
  </r>
  <r>
    <x v="1277"/>
    <x v="5"/>
    <x v="8"/>
    <n v="26.5"/>
    <n v="212"/>
    <x v="48"/>
    <d v="2025-02-19T00:00:00"/>
    <s v=""/>
    <x v="3"/>
    <x v="2"/>
    <x v="0"/>
    <x v="11"/>
    <x v="3"/>
    <x v="7"/>
    <x v="0"/>
  </r>
  <r>
    <x v="1278"/>
    <x v="2"/>
    <x v="1"/>
    <n v="220.3"/>
    <n v="440.6"/>
    <x v="48"/>
    <d v="2025-02-19T00:00:00"/>
    <s v="F"/>
    <x v="1"/>
    <x v="4"/>
    <x v="0"/>
    <x v="53"/>
    <x v="3"/>
    <x v="7"/>
    <x v="2"/>
  </r>
  <r>
    <x v="1279"/>
    <x v="8"/>
    <x v="2"/>
    <n v="45.7"/>
    <n v="137.10000000000002"/>
    <x v="48"/>
    <d v="2025-02-19T00:00:00"/>
    <s v="F"/>
    <x v="4"/>
    <x v="0"/>
    <x v="0"/>
    <x v="30"/>
    <x v="3"/>
    <x v="7"/>
    <x v="2"/>
  </r>
  <r>
    <x v="1280"/>
    <x v="5"/>
    <x v="9"/>
    <n v="47.1"/>
    <n v="235.5"/>
    <x v="48"/>
    <d v="2025-02-22T00:00:00"/>
    <s v="F"/>
    <x v="3"/>
    <x v="0"/>
    <x v="0"/>
    <x v="13"/>
    <x v="5"/>
    <x v="7"/>
    <x v="2"/>
  </r>
  <r>
    <x v="1281"/>
    <x v="1"/>
    <x v="9"/>
    <n v="81.7"/>
    <n v="408.5"/>
    <x v="48"/>
    <d v="2025-02-19T00:00:00"/>
    <s v="F"/>
    <x v="0"/>
    <x v="2"/>
    <x v="0"/>
    <x v="21"/>
    <x v="3"/>
    <x v="7"/>
    <x v="2"/>
  </r>
  <r>
    <x v="1282"/>
    <x v="6"/>
    <x v="7"/>
    <n v="97.8"/>
    <n v="978"/>
    <x v="48"/>
    <d v="2025-02-18T00:00:00"/>
    <s v="M"/>
    <x v="1"/>
    <x v="1"/>
    <x v="0"/>
    <x v="21"/>
    <x v="7"/>
    <x v="7"/>
    <x v="1"/>
  </r>
  <r>
    <x v="1283"/>
    <x v="6"/>
    <x v="2"/>
    <n v="42.4"/>
    <n v="127.19999999999999"/>
    <x v="48"/>
    <d v="2025-02-19T00:00:00"/>
    <s v="F"/>
    <x v="0"/>
    <x v="2"/>
    <x v="0"/>
    <x v="54"/>
    <x v="3"/>
    <x v="7"/>
    <x v="2"/>
  </r>
  <r>
    <x v="1284"/>
    <x v="2"/>
    <x v="7"/>
    <n v="74.5"/>
    <n v="745"/>
    <x v="48"/>
    <d v="2025-02-19T00:00:00"/>
    <s v="M"/>
    <x v="2"/>
    <x v="1"/>
    <x v="0"/>
    <x v="1"/>
    <x v="3"/>
    <x v="7"/>
    <x v="1"/>
  </r>
  <r>
    <x v="1285"/>
    <x v="17"/>
    <x v="13"/>
    <n v="47.4"/>
    <n v="284.39999999999998"/>
    <x v="48"/>
    <d v="2025-02-19T00:00:00"/>
    <s v="M"/>
    <x v="1"/>
    <x v="0"/>
    <x v="0"/>
    <x v="1"/>
    <x v="3"/>
    <x v="7"/>
    <x v="1"/>
  </r>
  <r>
    <x v="1286"/>
    <x v="14"/>
    <x v="2"/>
    <n v="17.3"/>
    <n v="51.900000000000006"/>
    <x v="49"/>
    <d v="2025-02-22T00:00:00"/>
    <s v="M"/>
    <x v="2"/>
    <x v="2"/>
    <x v="0"/>
    <x v="1"/>
    <x v="2"/>
    <x v="7"/>
    <x v="1"/>
  </r>
  <r>
    <x v="1287"/>
    <x v="12"/>
    <x v="12"/>
    <n v="77.900000000000006"/>
    <n v="311.60000000000002"/>
    <x v="49"/>
    <d v="2025-02-20T00:00:00"/>
    <s v="M"/>
    <x v="1"/>
    <x v="0"/>
    <x v="0"/>
    <x v="2"/>
    <x v="3"/>
    <x v="7"/>
    <x v="1"/>
  </r>
  <r>
    <x v="1288"/>
    <x v="8"/>
    <x v="0"/>
    <n v="29.1"/>
    <n v="29.1"/>
    <x v="49"/>
    <d v="2025-02-22T00:00:00"/>
    <s v="M"/>
    <x v="0"/>
    <x v="2"/>
    <x v="0"/>
    <x v="50"/>
    <x v="2"/>
    <x v="7"/>
    <x v="1"/>
  </r>
  <r>
    <x v="1289"/>
    <x v="8"/>
    <x v="0"/>
    <n v="49"/>
    <n v="49"/>
    <x v="49"/>
    <d v="2025-02-20T00:00:00"/>
    <s v="M"/>
    <x v="1"/>
    <x v="0"/>
    <x v="0"/>
    <x v="3"/>
    <x v="3"/>
    <x v="7"/>
    <x v="1"/>
  </r>
  <r>
    <x v="1290"/>
    <x v="8"/>
    <x v="13"/>
    <n v="21.1"/>
    <n v="126.60000000000001"/>
    <x v="49"/>
    <d v="2025-02-26T00:00:00"/>
    <s v="M"/>
    <x v="0"/>
    <x v="2"/>
    <x v="0"/>
    <x v="3"/>
    <x v="6"/>
    <x v="7"/>
    <x v="1"/>
  </r>
  <r>
    <x v="1291"/>
    <x v="4"/>
    <x v="10"/>
    <n v="36.9"/>
    <n v="701.1"/>
    <x v="49"/>
    <d v="2025-02-19T00:00:00"/>
    <s v="F"/>
    <x v="0"/>
    <x v="0"/>
    <x v="0"/>
    <x v="3"/>
    <x v="7"/>
    <x v="7"/>
    <x v="2"/>
  </r>
  <r>
    <x v="1292"/>
    <x v="1"/>
    <x v="7"/>
    <n v="92.6"/>
    <n v="926"/>
    <x v="49"/>
    <d v="2025-02-24T00:00:00"/>
    <s v="M"/>
    <x v="4"/>
    <x v="2"/>
    <x v="0"/>
    <x v="3"/>
    <x v="0"/>
    <x v="7"/>
    <x v="1"/>
  </r>
  <r>
    <x v="1293"/>
    <x v="10"/>
    <x v="1"/>
    <n v="38"/>
    <n v="76"/>
    <x v="49"/>
    <d v="2025-02-20T00:00:00"/>
    <s v="M"/>
    <x v="1"/>
    <x v="1"/>
    <x v="0"/>
    <x v="3"/>
    <x v="3"/>
    <x v="7"/>
    <x v="1"/>
  </r>
  <r>
    <x v="1294"/>
    <x v="5"/>
    <x v="2"/>
    <n v="54.8"/>
    <n v="164.39999999999998"/>
    <x v="49"/>
    <d v="2025-02-23T00:00:00"/>
    <s v=""/>
    <x v="0"/>
    <x v="1"/>
    <x v="0"/>
    <x v="3"/>
    <x v="5"/>
    <x v="7"/>
    <x v="0"/>
  </r>
  <r>
    <x v="1295"/>
    <x v="10"/>
    <x v="4"/>
    <n v="56.8"/>
    <n v="681.59999999999991"/>
    <x v="49"/>
    <d v="2025-02-21T00:00:00"/>
    <s v="M"/>
    <x v="1"/>
    <x v="0"/>
    <x v="0"/>
    <x v="3"/>
    <x v="1"/>
    <x v="7"/>
    <x v="1"/>
  </r>
  <r>
    <x v="1296"/>
    <x v="11"/>
    <x v="40"/>
    <n v="47.2"/>
    <n v="1557.6000000000001"/>
    <x v="49"/>
    <d v="2025-02-22T00:00:00"/>
    <s v="F"/>
    <x v="1"/>
    <x v="0"/>
    <x v="0"/>
    <x v="3"/>
    <x v="2"/>
    <x v="7"/>
    <x v="2"/>
  </r>
  <r>
    <x v="1297"/>
    <x v="7"/>
    <x v="13"/>
    <n v="45.1"/>
    <n v="270.60000000000002"/>
    <x v="49"/>
    <d v="2025-02-20T00:00:00"/>
    <s v="F"/>
    <x v="2"/>
    <x v="0"/>
    <x v="0"/>
    <x v="43"/>
    <x v="3"/>
    <x v="7"/>
    <x v="2"/>
  </r>
  <r>
    <x v="1298"/>
    <x v="4"/>
    <x v="4"/>
    <n v="25.2"/>
    <n v="302.39999999999998"/>
    <x v="49"/>
    <d v="2025-02-24T00:00:00"/>
    <s v="F"/>
    <x v="2"/>
    <x v="0"/>
    <x v="0"/>
    <x v="16"/>
    <x v="0"/>
    <x v="7"/>
    <x v="2"/>
  </r>
  <r>
    <x v="1299"/>
    <x v="8"/>
    <x v="0"/>
    <n v="22"/>
    <n v="22"/>
    <x v="49"/>
    <d v="2025-02-20T00:00:00"/>
    <s v="F"/>
    <x v="0"/>
    <x v="0"/>
    <x v="0"/>
    <x v="5"/>
    <x v="3"/>
    <x v="7"/>
    <x v="2"/>
  </r>
  <r>
    <x v="1300"/>
    <x v="6"/>
    <x v="1"/>
    <n v="42.2"/>
    <n v="84.4"/>
    <x v="49"/>
    <d v="2025-02-20T00:00:00"/>
    <s v="F"/>
    <x v="1"/>
    <x v="1"/>
    <x v="0"/>
    <x v="23"/>
    <x v="3"/>
    <x v="7"/>
    <x v="2"/>
  </r>
  <r>
    <x v="1301"/>
    <x v="13"/>
    <x v="2"/>
    <n v="20.5"/>
    <n v="61.5"/>
    <x v="49"/>
    <d v="2025-02-20T00:00:00"/>
    <s v="M"/>
    <x v="0"/>
    <x v="1"/>
    <x v="0"/>
    <x v="6"/>
    <x v="3"/>
    <x v="7"/>
    <x v="1"/>
  </r>
  <r>
    <x v="1302"/>
    <x v="2"/>
    <x v="0"/>
    <n v="190.4"/>
    <n v="190.4"/>
    <x v="49"/>
    <d v="2025-02-24T00:00:00"/>
    <s v="M"/>
    <x v="1"/>
    <x v="4"/>
    <x v="0"/>
    <x v="6"/>
    <x v="0"/>
    <x v="7"/>
    <x v="1"/>
  </r>
  <r>
    <x v="1303"/>
    <x v="2"/>
    <x v="0"/>
    <n v="121.9"/>
    <n v="121.9"/>
    <x v="49"/>
    <d v="2025-02-21T00:00:00"/>
    <s v="F"/>
    <x v="1"/>
    <x v="2"/>
    <x v="0"/>
    <x v="6"/>
    <x v="1"/>
    <x v="7"/>
    <x v="2"/>
  </r>
  <r>
    <x v="1304"/>
    <x v="2"/>
    <x v="13"/>
    <n v="149.19999999999999"/>
    <n v="895.19999999999993"/>
    <x v="49"/>
    <d v="2025-02-20T00:00:00"/>
    <s v="F"/>
    <x v="2"/>
    <x v="2"/>
    <x v="0"/>
    <x v="7"/>
    <x v="3"/>
    <x v="7"/>
    <x v="2"/>
  </r>
  <r>
    <x v="1305"/>
    <x v="2"/>
    <x v="0"/>
    <n v="54.1"/>
    <n v="54.1"/>
    <x v="49"/>
    <d v="2025-02-28T00:00:00"/>
    <s v="F"/>
    <x v="2"/>
    <x v="2"/>
    <x v="0"/>
    <x v="7"/>
    <x v="8"/>
    <x v="7"/>
    <x v="2"/>
  </r>
  <r>
    <x v="1306"/>
    <x v="5"/>
    <x v="1"/>
    <n v="27.4"/>
    <n v="54.8"/>
    <x v="49"/>
    <d v="2025-02-21T00:00:00"/>
    <s v="M"/>
    <x v="1"/>
    <x v="0"/>
    <x v="0"/>
    <x v="8"/>
    <x v="1"/>
    <x v="7"/>
    <x v="1"/>
  </r>
  <r>
    <x v="1307"/>
    <x v="0"/>
    <x v="15"/>
    <n v="30.4"/>
    <n v="395.2"/>
    <x v="49"/>
    <d v="2025-02-20T00:00:00"/>
    <s v="F"/>
    <x v="0"/>
    <x v="2"/>
    <x v="0"/>
    <x v="8"/>
    <x v="3"/>
    <x v="7"/>
    <x v="2"/>
  </r>
  <r>
    <x v="1308"/>
    <x v="12"/>
    <x v="2"/>
    <n v="46.2"/>
    <n v="138.60000000000002"/>
    <x v="49"/>
    <d v="2025-02-21T00:00:00"/>
    <s v="M"/>
    <x v="2"/>
    <x v="1"/>
    <x v="0"/>
    <x v="17"/>
    <x v="1"/>
    <x v="7"/>
    <x v="1"/>
  </r>
  <r>
    <x v="1309"/>
    <x v="7"/>
    <x v="8"/>
    <n v="78.599999999999994"/>
    <n v="628.79999999999995"/>
    <x v="49"/>
    <d v="2025-02-23T00:00:00"/>
    <s v="M"/>
    <x v="3"/>
    <x v="0"/>
    <x v="0"/>
    <x v="17"/>
    <x v="5"/>
    <x v="7"/>
    <x v="1"/>
  </r>
  <r>
    <x v="1310"/>
    <x v="17"/>
    <x v="7"/>
    <n v="25.9"/>
    <n v="259"/>
    <x v="49"/>
    <d v="2025-02-25T00:00:00"/>
    <s v="M"/>
    <x v="4"/>
    <x v="0"/>
    <x v="0"/>
    <x v="9"/>
    <x v="4"/>
    <x v="7"/>
    <x v="1"/>
  </r>
  <r>
    <x v="1311"/>
    <x v="6"/>
    <x v="0"/>
    <n v="134.80000000000001"/>
    <n v="134.80000000000001"/>
    <x v="49"/>
    <d v="2025-02-21T00:00:00"/>
    <s v="M"/>
    <x v="2"/>
    <x v="2"/>
    <x v="0"/>
    <x v="9"/>
    <x v="1"/>
    <x v="7"/>
    <x v="1"/>
  </r>
  <r>
    <x v="1312"/>
    <x v="15"/>
    <x v="9"/>
    <n v="43.1"/>
    <n v="215.5"/>
    <x v="49"/>
    <d v="2025-02-21T00:00:00"/>
    <s v="F"/>
    <x v="0"/>
    <x v="0"/>
    <x v="0"/>
    <x v="11"/>
    <x v="1"/>
    <x v="7"/>
    <x v="2"/>
  </r>
  <r>
    <x v="1313"/>
    <x v="2"/>
    <x v="1"/>
    <n v="215.6"/>
    <n v="431.2"/>
    <x v="49"/>
    <d v="2025-02-20T00:00:00"/>
    <s v="F"/>
    <x v="2"/>
    <x v="0"/>
    <x v="0"/>
    <x v="18"/>
    <x v="3"/>
    <x v="7"/>
    <x v="2"/>
  </r>
  <r>
    <x v="1314"/>
    <x v="6"/>
    <x v="1"/>
    <n v="80.7"/>
    <n v="161.4"/>
    <x v="49"/>
    <d v="2025-02-22T00:00:00"/>
    <s v="F"/>
    <x v="3"/>
    <x v="0"/>
    <x v="0"/>
    <x v="18"/>
    <x v="2"/>
    <x v="7"/>
    <x v="2"/>
  </r>
  <r>
    <x v="1315"/>
    <x v="10"/>
    <x v="3"/>
    <n v="20.6"/>
    <n v="144.20000000000002"/>
    <x v="49"/>
    <d v="2025-02-24T00:00:00"/>
    <s v=""/>
    <x v="2"/>
    <x v="1"/>
    <x v="0"/>
    <x v="19"/>
    <x v="0"/>
    <x v="7"/>
    <x v="0"/>
  </r>
  <r>
    <x v="1316"/>
    <x v="12"/>
    <x v="2"/>
    <n v="37.1"/>
    <n v="111.30000000000001"/>
    <x v="49"/>
    <d v="2025-02-20T00:00:00"/>
    <s v="F"/>
    <x v="0"/>
    <x v="0"/>
    <x v="0"/>
    <x v="52"/>
    <x v="3"/>
    <x v="7"/>
    <x v="2"/>
  </r>
  <r>
    <x v="1317"/>
    <x v="12"/>
    <x v="0"/>
    <n v="104.8"/>
    <n v="104.8"/>
    <x v="50"/>
    <d v="2025-02-22T00:00:00"/>
    <s v="F"/>
    <x v="0"/>
    <x v="0"/>
    <x v="0"/>
    <x v="13"/>
    <x v="1"/>
    <x v="7"/>
    <x v="2"/>
  </r>
  <r>
    <x v="1318"/>
    <x v="8"/>
    <x v="1"/>
    <n v="59"/>
    <n v="118"/>
    <x v="50"/>
    <d v="2025-02-21T00:00:00"/>
    <s v="M"/>
    <x v="1"/>
    <x v="0"/>
    <x v="0"/>
    <x v="21"/>
    <x v="3"/>
    <x v="7"/>
    <x v="1"/>
  </r>
  <r>
    <x v="1319"/>
    <x v="8"/>
    <x v="1"/>
    <n v="32.299999999999997"/>
    <n v="64.599999999999994"/>
    <x v="50"/>
    <d v="2025-02-21T00:00:00"/>
    <s v="M"/>
    <x v="0"/>
    <x v="2"/>
    <x v="0"/>
    <x v="21"/>
    <x v="3"/>
    <x v="7"/>
    <x v="1"/>
  </r>
  <r>
    <x v="1320"/>
    <x v="8"/>
    <x v="12"/>
    <n v="28.9"/>
    <n v="115.6"/>
    <x v="50"/>
    <d v="2025-02-27T00:00:00"/>
    <s v="M"/>
    <x v="0"/>
    <x v="0"/>
    <x v="0"/>
    <x v="1"/>
    <x v="6"/>
    <x v="7"/>
    <x v="1"/>
  </r>
  <r>
    <x v="1321"/>
    <x v="0"/>
    <x v="1"/>
    <n v="29.6"/>
    <n v="59.2"/>
    <x v="50"/>
    <d v="2025-02-22T00:00:00"/>
    <s v="M"/>
    <x v="0"/>
    <x v="0"/>
    <x v="0"/>
    <x v="1"/>
    <x v="1"/>
    <x v="7"/>
    <x v="1"/>
  </r>
  <r>
    <x v="1322"/>
    <x v="0"/>
    <x v="9"/>
    <n v="29.4"/>
    <n v="147"/>
    <x v="50"/>
    <d v="2025-02-23T00:00:00"/>
    <s v="F"/>
    <x v="0"/>
    <x v="0"/>
    <x v="0"/>
    <x v="1"/>
    <x v="2"/>
    <x v="7"/>
    <x v="2"/>
  </r>
  <r>
    <x v="1323"/>
    <x v="1"/>
    <x v="1"/>
    <n v="40.6"/>
    <n v="81.2"/>
    <x v="50"/>
    <d v="2025-02-21T00:00:00"/>
    <s v="M"/>
    <x v="0"/>
    <x v="4"/>
    <x v="0"/>
    <x v="2"/>
    <x v="3"/>
    <x v="7"/>
    <x v="1"/>
  </r>
  <r>
    <x v="1324"/>
    <x v="0"/>
    <x v="2"/>
    <n v="32.5"/>
    <n v="97.5"/>
    <x v="50"/>
    <d v="2025-02-21T00:00:00"/>
    <s v="M"/>
    <x v="3"/>
    <x v="2"/>
    <x v="0"/>
    <x v="22"/>
    <x v="3"/>
    <x v="7"/>
    <x v="1"/>
  </r>
  <r>
    <x v="1325"/>
    <x v="15"/>
    <x v="0"/>
    <n v="26.2"/>
    <n v="26.2"/>
    <x v="50"/>
    <d v="2025-02-22T00:00:00"/>
    <s v="M"/>
    <x v="2"/>
    <x v="0"/>
    <x v="0"/>
    <x v="55"/>
    <x v="1"/>
    <x v="7"/>
    <x v="1"/>
  </r>
  <r>
    <x v="1326"/>
    <x v="10"/>
    <x v="17"/>
    <n v="44"/>
    <n v="1320"/>
    <x v="50"/>
    <d v="2025-02-26T00:00:00"/>
    <s v="M"/>
    <x v="4"/>
    <x v="0"/>
    <x v="0"/>
    <x v="3"/>
    <x v="4"/>
    <x v="7"/>
    <x v="1"/>
  </r>
  <r>
    <x v="1327"/>
    <x v="7"/>
    <x v="12"/>
    <n v="65.599999999999994"/>
    <n v="262.39999999999998"/>
    <x v="50"/>
    <d v="2025-02-21T00:00:00"/>
    <s v="F"/>
    <x v="1"/>
    <x v="1"/>
    <x v="0"/>
    <x v="3"/>
    <x v="3"/>
    <x v="7"/>
    <x v="2"/>
  </r>
  <r>
    <x v="1328"/>
    <x v="5"/>
    <x v="4"/>
    <n v="32.6"/>
    <n v="391.20000000000005"/>
    <x v="50"/>
    <d v="2025-02-21T00:00:00"/>
    <s v="M"/>
    <x v="4"/>
    <x v="0"/>
    <x v="0"/>
    <x v="3"/>
    <x v="3"/>
    <x v="7"/>
    <x v="1"/>
  </r>
  <r>
    <x v="1329"/>
    <x v="16"/>
    <x v="1"/>
    <n v="88.7"/>
    <n v="177.4"/>
    <x v="50"/>
    <d v="2025-02-21T00:00:00"/>
    <s v=""/>
    <x v="3"/>
    <x v="2"/>
    <x v="0"/>
    <x v="3"/>
    <x v="3"/>
    <x v="7"/>
    <x v="0"/>
  </r>
  <r>
    <x v="1330"/>
    <x v="4"/>
    <x v="1"/>
    <n v="21.3"/>
    <n v="42.6"/>
    <x v="50"/>
    <d v="2025-02-21T00:00:00"/>
    <s v="M"/>
    <x v="0"/>
    <x v="0"/>
    <x v="0"/>
    <x v="3"/>
    <x v="3"/>
    <x v="7"/>
    <x v="1"/>
  </r>
  <r>
    <x v="1331"/>
    <x v="4"/>
    <x v="13"/>
    <n v="50.6"/>
    <n v="303.60000000000002"/>
    <x v="50"/>
    <d v="2025-02-24T00:00:00"/>
    <s v="F"/>
    <x v="2"/>
    <x v="0"/>
    <x v="0"/>
    <x v="3"/>
    <x v="5"/>
    <x v="7"/>
    <x v="2"/>
  </r>
  <r>
    <x v="1332"/>
    <x v="9"/>
    <x v="38"/>
    <n v="86.9"/>
    <n v="1824.9"/>
    <x v="50"/>
    <d v="2025-02-23T00:00:00"/>
    <s v="F"/>
    <x v="0"/>
    <x v="1"/>
    <x v="0"/>
    <x v="3"/>
    <x v="2"/>
    <x v="7"/>
    <x v="2"/>
  </r>
  <r>
    <x v="1333"/>
    <x v="11"/>
    <x v="2"/>
    <n v="31.8"/>
    <n v="95.4"/>
    <x v="50"/>
    <d v="2025-02-22T00:00:00"/>
    <s v="M"/>
    <x v="0"/>
    <x v="2"/>
    <x v="0"/>
    <x v="3"/>
    <x v="1"/>
    <x v="7"/>
    <x v="1"/>
  </r>
  <r>
    <x v="1334"/>
    <x v="8"/>
    <x v="0"/>
    <n v="19"/>
    <n v="19"/>
    <x v="50"/>
    <d v="2025-02-21T00:00:00"/>
    <s v="F"/>
    <x v="0"/>
    <x v="2"/>
    <x v="0"/>
    <x v="3"/>
    <x v="3"/>
    <x v="7"/>
    <x v="2"/>
  </r>
  <r>
    <x v="1335"/>
    <x v="5"/>
    <x v="0"/>
    <n v="54.5"/>
    <n v="54.5"/>
    <x v="50"/>
    <d v="2025-02-22T00:00:00"/>
    <s v="M"/>
    <x v="0"/>
    <x v="0"/>
    <x v="0"/>
    <x v="3"/>
    <x v="1"/>
    <x v="7"/>
    <x v="1"/>
  </r>
  <r>
    <x v="1336"/>
    <x v="9"/>
    <x v="9"/>
    <n v="68.900000000000006"/>
    <n v="344.5"/>
    <x v="50"/>
    <d v="2025-02-22T00:00:00"/>
    <s v="M"/>
    <x v="4"/>
    <x v="1"/>
    <x v="0"/>
    <x v="3"/>
    <x v="1"/>
    <x v="7"/>
    <x v="1"/>
  </r>
  <r>
    <x v="1337"/>
    <x v="6"/>
    <x v="2"/>
    <n v="84"/>
    <n v="252"/>
    <x v="50"/>
    <d v="2025-02-21T00:00:00"/>
    <s v="M"/>
    <x v="1"/>
    <x v="4"/>
    <x v="0"/>
    <x v="16"/>
    <x v="3"/>
    <x v="7"/>
    <x v="1"/>
  </r>
  <r>
    <x v="1338"/>
    <x v="15"/>
    <x v="8"/>
    <n v="23.1"/>
    <n v="184.8"/>
    <x v="50"/>
    <d v="2025-02-25T00:00:00"/>
    <s v="M"/>
    <x v="0"/>
    <x v="2"/>
    <x v="0"/>
    <x v="23"/>
    <x v="0"/>
    <x v="7"/>
    <x v="1"/>
  </r>
  <r>
    <x v="1339"/>
    <x v="7"/>
    <x v="1"/>
    <n v="62.4"/>
    <n v="124.8"/>
    <x v="50"/>
    <d v="2025-02-21T00:00:00"/>
    <s v="F"/>
    <x v="0"/>
    <x v="1"/>
    <x v="0"/>
    <x v="6"/>
    <x v="3"/>
    <x v="7"/>
    <x v="2"/>
  </r>
  <r>
    <x v="1340"/>
    <x v="6"/>
    <x v="4"/>
    <n v="40.700000000000003"/>
    <n v="488.40000000000003"/>
    <x v="50"/>
    <d v="2025-02-22T00:00:00"/>
    <s v="M"/>
    <x v="1"/>
    <x v="2"/>
    <x v="0"/>
    <x v="6"/>
    <x v="1"/>
    <x v="7"/>
    <x v="1"/>
  </r>
  <r>
    <x v="1341"/>
    <x v="6"/>
    <x v="0"/>
    <n v="49.6"/>
    <n v="49.6"/>
    <x v="50"/>
    <d v="2025-02-23T00:00:00"/>
    <s v="M"/>
    <x v="2"/>
    <x v="0"/>
    <x v="0"/>
    <x v="7"/>
    <x v="2"/>
    <x v="7"/>
    <x v="1"/>
  </r>
  <r>
    <x v="1342"/>
    <x v="7"/>
    <x v="41"/>
    <n v="66.599999999999994"/>
    <n v="2996.9999999999995"/>
    <x v="50"/>
    <d v="2025-02-23T00:00:00"/>
    <s v="M"/>
    <x v="2"/>
    <x v="0"/>
    <x v="0"/>
    <x v="8"/>
    <x v="2"/>
    <x v="7"/>
    <x v="1"/>
  </r>
  <r>
    <x v="1343"/>
    <x v="8"/>
    <x v="2"/>
    <n v="26.4"/>
    <n v="79.199999999999989"/>
    <x v="50"/>
    <d v="2025-02-21T00:00:00"/>
    <s v="F"/>
    <x v="1"/>
    <x v="1"/>
    <x v="0"/>
    <x v="8"/>
    <x v="3"/>
    <x v="7"/>
    <x v="2"/>
  </r>
  <r>
    <x v="1344"/>
    <x v="0"/>
    <x v="1"/>
    <n v="17.2"/>
    <n v="34.4"/>
    <x v="50"/>
    <d v="2025-02-23T00:00:00"/>
    <s v="M"/>
    <x v="2"/>
    <x v="1"/>
    <x v="0"/>
    <x v="8"/>
    <x v="2"/>
    <x v="7"/>
    <x v="1"/>
  </r>
  <r>
    <x v="1345"/>
    <x v="5"/>
    <x v="8"/>
    <n v="58.1"/>
    <n v="464.8"/>
    <x v="50"/>
    <d v="2025-02-23T00:00:00"/>
    <s v="F"/>
    <x v="4"/>
    <x v="0"/>
    <x v="0"/>
    <x v="8"/>
    <x v="2"/>
    <x v="7"/>
    <x v="2"/>
  </r>
  <r>
    <x v="1346"/>
    <x v="15"/>
    <x v="12"/>
    <n v="31.5"/>
    <n v="126"/>
    <x v="50"/>
    <d v="2025-02-23T00:00:00"/>
    <s v="F"/>
    <x v="4"/>
    <x v="4"/>
    <x v="0"/>
    <x v="8"/>
    <x v="2"/>
    <x v="7"/>
    <x v="2"/>
  </r>
  <r>
    <x v="1347"/>
    <x v="0"/>
    <x v="0"/>
    <n v="27.1"/>
    <n v="27.1"/>
    <x v="50"/>
    <d v="2025-02-22T00:00:00"/>
    <s v="F"/>
    <x v="0"/>
    <x v="1"/>
    <x v="0"/>
    <x v="17"/>
    <x v="1"/>
    <x v="7"/>
    <x v="2"/>
  </r>
  <r>
    <x v="1348"/>
    <x v="18"/>
    <x v="12"/>
    <n v="28.5"/>
    <n v="114"/>
    <x v="50"/>
    <d v="2025-02-22T00:00:00"/>
    <s v="M"/>
    <x v="1"/>
    <x v="2"/>
    <x v="0"/>
    <x v="9"/>
    <x v="1"/>
    <x v="7"/>
    <x v="1"/>
  </r>
  <r>
    <x v="1349"/>
    <x v="10"/>
    <x v="0"/>
    <n v="40.5"/>
    <n v="40.5"/>
    <x v="51"/>
    <d v="2025-02-23T00:00:00"/>
    <s v="O"/>
    <x v="2"/>
    <x v="0"/>
    <x v="0"/>
    <x v="9"/>
    <x v="1"/>
    <x v="7"/>
    <x v="3"/>
  </r>
  <r>
    <x v="1350"/>
    <x v="2"/>
    <x v="2"/>
    <n v="77.900000000000006"/>
    <n v="233.70000000000002"/>
    <x v="51"/>
    <d v="2025-02-25T00:00:00"/>
    <s v="F"/>
    <x v="1"/>
    <x v="2"/>
    <x v="0"/>
    <x v="19"/>
    <x v="5"/>
    <x v="7"/>
    <x v="2"/>
  </r>
  <r>
    <x v="1351"/>
    <x v="18"/>
    <x v="12"/>
    <n v="37.1"/>
    <n v="148.4"/>
    <x v="51"/>
    <d v="2025-02-23T00:00:00"/>
    <s v="M"/>
    <x v="4"/>
    <x v="2"/>
    <x v="0"/>
    <x v="19"/>
    <x v="1"/>
    <x v="7"/>
    <x v="1"/>
  </r>
  <r>
    <x v="1352"/>
    <x v="16"/>
    <x v="2"/>
    <n v="51.6"/>
    <n v="154.80000000000001"/>
    <x v="51"/>
    <d v="2025-03-01T00:00:00"/>
    <s v="F"/>
    <x v="0"/>
    <x v="4"/>
    <x v="0"/>
    <x v="19"/>
    <x v="9"/>
    <x v="7"/>
    <x v="2"/>
  </r>
  <r>
    <x v="1353"/>
    <x v="7"/>
    <x v="2"/>
    <n v="98"/>
    <n v="294"/>
    <x v="51"/>
    <d v="2025-02-22T00:00:00"/>
    <s v="M"/>
    <x v="1"/>
    <x v="1"/>
    <x v="0"/>
    <x v="19"/>
    <x v="3"/>
    <x v="7"/>
    <x v="1"/>
  </r>
  <r>
    <x v="1354"/>
    <x v="6"/>
    <x v="3"/>
    <n v="41.4"/>
    <n v="289.8"/>
    <x v="51"/>
    <d v="2025-02-22T00:00:00"/>
    <s v="M"/>
    <x v="1"/>
    <x v="0"/>
    <x v="0"/>
    <x v="20"/>
    <x v="3"/>
    <x v="7"/>
    <x v="1"/>
  </r>
  <r>
    <x v="1355"/>
    <x v="11"/>
    <x v="8"/>
    <n v="34"/>
    <n v="272"/>
    <x v="51"/>
    <d v="2025-02-26T00:00:00"/>
    <s v="F"/>
    <x v="0"/>
    <x v="2"/>
    <x v="0"/>
    <x v="52"/>
    <x v="0"/>
    <x v="7"/>
    <x v="2"/>
  </r>
  <r>
    <x v="1356"/>
    <x v="6"/>
    <x v="0"/>
    <n v="66.3"/>
    <n v="66.3"/>
    <x v="51"/>
    <d v="2025-02-22T00:00:00"/>
    <s v="F"/>
    <x v="1"/>
    <x v="0"/>
    <x v="0"/>
    <x v="13"/>
    <x v="3"/>
    <x v="7"/>
    <x v="2"/>
  </r>
  <r>
    <x v="1357"/>
    <x v="7"/>
    <x v="0"/>
    <n v="33.5"/>
    <n v="33.5"/>
    <x v="51"/>
    <d v="2025-02-25T00:00:00"/>
    <s v="M"/>
    <x v="2"/>
    <x v="0"/>
    <x v="0"/>
    <x v="13"/>
    <x v="5"/>
    <x v="7"/>
    <x v="1"/>
  </r>
  <r>
    <x v="1358"/>
    <x v="12"/>
    <x v="1"/>
    <n v="70.8"/>
    <n v="141.6"/>
    <x v="51"/>
    <d v="2025-02-22T00:00:00"/>
    <s v=""/>
    <x v="0"/>
    <x v="0"/>
    <x v="0"/>
    <x v="28"/>
    <x v="3"/>
    <x v="7"/>
    <x v="0"/>
  </r>
  <r>
    <x v="1359"/>
    <x v="6"/>
    <x v="1"/>
    <n v="127.6"/>
    <n v="255.2"/>
    <x v="51"/>
    <d v="2025-02-22T00:00:00"/>
    <s v="M"/>
    <x v="0"/>
    <x v="0"/>
    <x v="0"/>
    <x v="21"/>
    <x v="3"/>
    <x v="7"/>
    <x v="1"/>
  </r>
  <r>
    <x v="1360"/>
    <x v="6"/>
    <x v="2"/>
    <n v="95.9"/>
    <n v="287.70000000000005"/>
    <x v="51"/>
    <d v="2025-02-22T00:00:00"/>
    <s v="F"/>
    <x v="1"/>
    <x v="1"/>
    <x v="0"/>
    <x v="21"/>
    <x v="3"/>
    <x v="7"/>
    <x v="2"/>
  </r>
  <r>
    <x v="1361"/>
    <x v="2"/>
    <x v="1"/>
    <n v="78.099999999999994"/>
    <n v="156.19999999999999"/>
    <x v="51"/>
    <d v="2025-02-22T00:00:00"/>
    <s v="M"/>
    <x v="0"/>
    <x v="0"/>
    <x v="0"/>
    <x v="1"/>
    <x v="3"/>
    <x v="7"/>
    <x v="1"/>
  </r>
  <r>
    <x v="1362"/>
    <x v="13"/>
    <x v="1"/>
    <n v="43.2"/>
    <n v="86.4"/>
    <x v="51"/>
    <d v="2025-02-22T00:00:00"/>
    <s v=""/>
    <x v="1"/>
    <x v="1"/>
    <x v="0"/>
    <x v="1"/>
    <x v="3"/>
    <x v="7"/>
    <x v="0"/>
  </r>
  <r>
    <x v="1363"/>
    <x v="8"/>
    <x v="12"/>
    <n v="28.4"/>
    <n v="113.6"/>
    <x v="51"/>
    <d v="2025-02-27T00:00:00"/>
    <s v="M"/>
    <x v="2"/>
    <x v="0"/>
    <x v="0"/>
    <x v="3"/>
    <x v="4"/>
    <x v="7"/>
    <x v="1"/>
  </r>
  <r>
    <x v="1364"/>
    <x v="2"/>
    <x v="1"/>
    <n v="81.7"/>
    <n v="163.4"/>
    <x v="51"/>
    <d v="2025-02-21T00:00:00"/>
    <s v="M"/>
    <x v="0"/>
    <x v="0"/>
    <x v="0"/>
    <x v="3"/>
    <x v="7"/>
    <x v="7"/>
    <x v="1"/>
  </r>
  <r>
    <x v="1365"/>
    <x v="18"/>
    <x v="1"/>
    <n v="56.7"/>
    <n v="113.4"/>
    <x v="51"/>
    <d v="2025-02-23T00:00:00"/>
    <s v=""/>
    <x v="0"/>
    <x v="2"/>
    <x v="0"/>
    <x v="3"/>
    <x v="1"/>
    <x v="7"/>
    <x v="0"/>
  </r>
  <r>
    <x v="1366"/>
    <x v="3"/>
    <x v="12"/>
    <n v="66.5"/>
    <n v="266"/>
    <x v="51"/>
    <d v="2025-02-21T00:00:00"/>
    <s v="F"/>
    <x v="0"/>
    <x v="2"/>
    <x v="0"/>
    <x v="3"/>
    <x v="7"/>
    <x v="7"/>
    <x v="2"/>
  </r>
  <r>
    <x v="1367"/>
    <x v="1"/>
    <x v="1"/>
    <n v="105.3"/>
    <n v="210.6"/>
    <x v="51"/>
    <d v="2025-02-25T00:00:00"/>
    <s v="M"/>
    <x v="0"/>
    <x v="1"/>
    <x v="0"/>
    <x v="3"/>
    <x v="5"/>
    <x v="7"/>
    <x v="1"/>
  </r>
  <r>
    <x v="1368"/>
    <x v="10"/>
    <x v="9"/>
    <n v="33.799999999999997"/>
    <n v="169"/>
    <x v="51"/>
    <d v="2025-02-26T00:00:00"/>
    <s v="M"/>
    <x v="0"/>
    <x v="0"/>
    <x v="0"/>
    <x v="3"/>
    <x v="0"/>
    <x v="7"/>
    <x v="1"/>
  </r>
  <r>
    <x v="1369"/>
    <x v="6"/>
    <x v="2"/>
    <n v="63.4"/>
    <n v="190.2"/>
    <x v="51"/>
    <d v="2025-02-26T00:00:00"/>
    <s v="M"/>
    <x v="3"/>
    <x v="1"/>
    <x v="0"/>
    <x v="24"/>
    <x v="0"/>
    <x v="7"/>
    <x v="1"/>
  </r>
  <r>
    <x v="1370"/>
    <x v="6"/>
    <x v="2"/>
    <n v="49"/>
    <n v="147"/>
    <x v="51"/>
    <d v="2025-02-25T00:00:00"/>
    <s v="M"/>
    <x v="3"/>
    <x v="0"/>
    <x v="0"/>
    <x v="49"/>
    <x v="5"/>
    <x v="7"/>
    <x v="1"/>
  </r>
  <r>
    <x v="1371"/>
    <x v="1"/>
    <x v="1"/>
    <n v="40"/>
    <n v="80"/>
    <x v="51"/>
    <d v="2025-02-22T00:00:00"/>
    <s v="F"/>
    <x v="4"/>
    <x v="1"/>
    <x v="0"/>
    <x v="23"/>
    <x v="3"/>
    <x v="7"/>
    <x v="2"/>
  </r>
  <r>
    <x v="1372"/>
    <x v="6"/>
    <x v="12"/>
    <n v="86.3"/>
    <n v="345.2"/>
    <x v="51"/>
    <d v="2025-02-22T00:00:00"/>
    <s v="O"/>
    <x v="0"/>
    <x v="0"/>
    <x v="0"/>
    <x v="6"/>
    <x v="3"/>
    <x v="7"/>
    <x v="3"/>
  </r>
  <r>
    <x v="1373"/>
    <x v="6"/>
    <x v="0"/>
    <n v="51.6"/>
    <n v="51.6"/>
    <x v="51"/>
    <d v="2025-02-23T00:00:00"/>
    <s v="F"/>
    <x v="2"/>
    <x v="2"/>
    <x v="0"/>
    <x v="6"/>
    <x v="1"/>
    <x v="7"/>
    <x v="2"/>
  </r>
  <r>
    <x v="1374"/>
    <x v="10"/>
    <x v="2"/>
    <n v="26.7"/>
    <n v="80.099999999999994"/>
    <x v="51"/>
    <d v="2025-02-26T00:00:00"/>
    <s v="F"/>
    <x v="2"/>
    <x v="1"/>
    <x v="0"/>
    <x v="6"/>
    <x v="0"/>
    <x v="7"/>
    <x v="2"/>
  </r>
  <r>
    <x v="1375"/>
    <x v="18"/>
    <x v="1"/>
    <n v="68.099999999999994"/>
    <n v="136.19999999999999"/>
    <x v="51"/>
    <d v="2025-02-22T00:00:00"/>
    <s v="M"/>
    <x v="0"/>
    <x v="1"/>
    <x v="0"/>
    <x v="6"/>
    <x v="3"/>
    <x v="7"/>
    <x v="1"/>
  </r>
  <r>
    <x v="1376"/>
    <x v="1"/>
    <x v="0"/>
    <n v="81.7"/>
    <n v="81.7"/>
    <x v="51"/>
    <d v="2025-02-22T00:00:00"/>
    <s v="M"/>
    <x v="0"/>
    <x v="0"/>
    <x v="0"/>
    <x v="7"/>
    <x v="3"/>
    <x v="7"/>
    <x v="1"/>
  </r>
  <r>
    <x v="1377"/>
    <x v="18"/>
    <x v="7"/>
    <n v="25.1"/>
    <n v="251"/>
    <x v="51"/>
    <d v="2025-02-24T00:00:00"/>
    <s v="M"/>
    <x v="3"/>
    <x v="1"/>
    <x v="0"/>
    <x v="8"/>
    <x v="2"/>
    <x v="7"/>
    <x v="1"/>
  </r>
  <r>
    <x v="1378"/>
    <x v="8"/>
    <x v="0"/>
    <n v="20.2"/>
    <n v="20.2"/>
    <x v="51"/>
    <d v="2025-02-25T00:00:00"/>
    <s v="F"/>
    <x v="0"/>
    <x v="0"/>
    <x v="0"/>
    <x v="8"/>
    <x v="5"/>
    <x v="7"/>
    <x v="2"/>
  </r>
  <r>
    <x v="1379"/>
    <x v="8"/>
    <x v="2"/>
    <n v="15.4"/>
    <n v="46.2"/>
    <x v="51"/>
    <d v="2025-02-22T00:00:00"/>
    <s v="M"/>
    <x v="1"/>
    <x v="2"/>
    <x v="0"/>
    <x v="8"/>
    <x v="3"/>
    <x v="7"/>
    <x v="1"/>
  </r>
  <r>
    <x v="1380"/>
    <x v="10"/>
    <x v="0"/>
    <n v="59.2"/>
    <n v="59.2"/>
    <x v="51"/>
    <d v="2025-02-22T00:00:00"/>
    <s v="M"/>
    <x v="2"/>
    <x v="2"/>
    <x v="0"/>
    <x v="17"/>
    <x v="3"/>
    <x v="7"/>
    <x v="1"/>
  </r>
  <r>
    <x v="1381"/>
    <x v="0"/>
    <x v="0"/>
    <n v="46.7"/>
    <n v="46.7"/>
    <x v="51"/>
    <d v="2025-02-26T00:00:00"/>
    <s v="M"/>
    <x v="0"/>
    <x v="0"/>
    <x v="0"/>
    <x v="17"/>
    <x v="0"/>
    <x v="7"/>
    <x v="1"/>
  </r>
  <r>
    <x v="1382"/>
    <x v="6"/>
    <x v="20"/>
    <n v="41.6"/>
    <n v="624"/>
    <x v="51"/>
    <d v="2025-02-23T00:00:00"/>
    <s v="M"/>
    <x v="1"/>
    <x v="0"/>
    <x v="0"/>
    <x v="26"/>
    <x v="1"/>
    <x v="7"/>
    <x v="1"/>
  </r>
  <r>
    <x v="1383"/>
    <x v="8"/>
    <x v="1"/>
    <n v="19.2"/>
    <n v="38.4"/>
    <x v="51"/>
    <d v="2025-02-24T00:00:00"/>
    <s v="M"/>
    <x v="4"/>
    <x v="2"/>
    <x v="0"/>
    <x v="9"/>
    <x v="2"/>
    <x v="7"/>
    <x v="1"/>
  </r>
  <r>
    <x v="1384"/>
    <x v="17"/>
    <x v="3"/>
    <n v="41.8"/>
    <n v="292.59999999999997"/>
    <x v="51"/>
    <d v="2025-02-23T00:00:00"/>
    <s v="F"/>
    <x v="2"/>
    <x v="0"/>
    <x v="0"/>
    <x v="11"/>
    <x v="1"/>
    <x v="7"/>
    <x v="2"/>
  </r>
  <r>
    <x v="1385"/>
    <x v="8"/>
    <x v="13"/>
    <n v="37.4"/>
    <n v="224.39999999999998"/>
    <x v="51"/>
    <d v="2025-02-23T00:00:00"/>
    <s v="M"/>
    <x v="0"/>
    <x v="2"/>
    <x v="0"/>
    <x v="11"/>
    <x v="1"/>
    <x v="7"/>
    <x v="1"/>
  </r>
  <r>
    <x v="1386"/>
    <x v="10"/>
    <x v="2"/>
    <n v="60.2"/>
    <n v="180.60000000000002"/>
    <x v="51"/>
    <d v="2025-02-24T00:00:00"/>
    <s v="M"/>
    <x v="4"/>
    <x v="1"/>
    <x v="0"/>
    <x v="38"/>
    <x v="2"/>
    <x v="7"/>
    <x v="1"/>
  </r>
  <r>
    <x v="1387"/>
    <x v="9"/>
    <x v="1"/>
    <n v="91.5"/>
    <n v="183"/>
    <x v="52"/>
    <d v="2025-02-23T00:00:00"/>
    <s v="M"/>
    <x v="0"/>
    <x v="0"/>
    <x v="0"/>
    <x v="13"/>
    <x v="3"/>
    <x v="7"/>
    <x v="1"/>
  </r>
  <r>
    <x v="1388"/>
    <x v="3"/>
    <x v="9"/>
    <n v="55.7"/>
    <n v="278.5"/>
    <x v="52"/>
    <d v="2025-02-24T00:00:00"/>
    <s v=""/>
    <x v="1"/>
    <x v="2"/>
    <x v="0"/>
    <x v="21"/>
    <x v="1"/>
    <x v="7"/>
    <x v="0"/>
  </r>
  <r>
    <x v="1389"/>
    <x v="7"/>
    <x v="1"/>
    <n v="76.7"/>
    <n v="153.4"/>
    <x v="52"/>
    <d v="2025-02-24T00:00:00"/>
    <s v="M"/>
    <x v="0"/>
    <x v="1"/>
    <x v="0"/>
    <x v="21"/>
    <x v="1"/>
    <x v="7"/>
    <x v="1"/>
  </r>
  <r>
    <x v="1390"/>
    <x v="8"/>
    <x v="38"/>
    <n v="28.2"/>
    <n v="592.19999999999993"/>
    <x v="52"/>
    <d v="2025-02-27T00:00:00"/>
    <s v="M"/>
    <x v="2"/>
    <x v="0"/>
    <x v="0"/>
    <x v="1"/>
    <x v="0"/>
    <x v="7"/>
    <x v="1"/>
  </r>
  <r>
    <x v="1391"/>
    <x v="7"/>
    <x v="9"/>
    <n v="93.2"/>
    <n v="466"/>
    <x v="52"/>
    <d v="2025-02-24T00:00:00"/>
    <s v="F"/>
    <x v="4"/>
    <x v="2"/>
    <x v="0"/>
    <x v="1"/>
    <x v="1"/>
    <x v="7"/>
    <x v="2"/>
  </r>
  <r>
    <x v="1392"/>
    <x v="17"/>
    <x v="0"/>
    <n v="33.299999999999997"/>
    <n v="33.299999999999997"/>
    <x v="52"/>
    <d v="2025-02-23T00:00:00"/>
    <s v="M"/>
    <x v="4"/>
    <x v="0"/>
    <x v="0"/>
    <x v="2"/>
    <x v="3"/>
    <x v="7"/>
    <x v="1"/>
  </r>
  <r>
    <x v="1393"/>
    <x v="10"/>
    <x v="1"/>
    <n v="39.1"/>
    <n v="78.2"/>
    <x v="52"/>
    <d v="2025-02-25T00:00:00"/>
    <s v="M"/>
    <x v="0"/>
    <x v="0"/>
    <x v="0"/>
    <x v="44"/>
    <x v="2"/>
    <x v="7"/>
    <x v="1"/>
  </r>
  <r>
    <x v="1394"/>
    <x v="7"/>
    <x v="4"/>
    <n v="45.3"/>
    <n v="543.59999999999991"/>
    <x v="52"/>
    <d v="2025-02-23T00:00:00"/>
    <s v="M"/>
    <x v="2"/>
    <x v="0"/>
    <x v="0"/>
    <x v="33"/>
    <x v="3"/>
    <x v="7"/>
    <x v="1"/>
  </r>
  <r>
    <x v="1395"/>
    <x v="9"/>
    <x v="3"/>
    <n v="33.9"/>
    <n v="237.29999999999998"/>
    <x v="52"/>
    <d v="2025-02-23T00:00:00"/>
    <s v="M"/>
    <x v="4"/>
    <x v="0"/>
    <x v="0"/>
    <x v="33"/>
    <x v="3"/>
    <x v="7"/>
    <x v="1"/>
  </r>
  <r>
    <x v="1396"/>
    <x v="8"/>
    <x v="2"/>
    <n v="19"/>
    <n v="57"/>
    <x v="52"/>
    <d v="2025-02-23T00:00:00"/>
    <s v="M"/>
    <x v="0"/>
    <x v="2"/>
    <x v="0"/>
    <x v="15"/>
    <x v="3"/>
    <x v="7"/>
    <x v="1"/>
  </r>
  <r>
    <x v="1397"/>
    <x v="4"/>
    <x v="0"/>
    <n v="41.9"/>
    <n v="41.9"/>
    <x v="52"/>
    <d v="2025-02-25T00:00:00"/>
    <s v="F"/>
    <x v="2"/>
    <x v="0"/>
    <x v="0"/>
    <x v="22"/>
    <x v="2"/>
    <x v="7"/>
    <x v="2"/>
  </r>
  <r>
    <x v="1398"/>
    <x v="1"/>
    <x v="12"/>
    <n v="37.5"/>
    <n v="150"/>
    <x v="52"/>
    <d v="2025-02-22T00:00:00"/>
    <s v="F"/>
    <x v="0"/>
    <x v="0"/>
    <x v="0"/>
    <x v="3"/>
    <x v="7"/>
    <x v="7"/>
    <x v="2"/>
  </r>
  <r>
    <x v="1399"/>
    <x v="0"/>
    <x v="1"/>
    <n v="40.799999999999997"/>
    <n v="81.599999999999994"/>
    <x v="52"/>
    <d v="2025-02-25T00:00:00"/>
    <s v="M"/>
    <x v="0"/>
    <x v="0"/>
    <x v="0"/>
    <x v="3"/>
    <x v="2"/>
    <x v="7"/>
    <x v="1"/>
  </r>
  <r>
    <x v="1400"/>
    <x v="0"/>
    <x v="12"/>
    <n v="23.1"/>
    <n v="92.4"/>
    <x v="52"/>
    <d v="2025-02-23T00:00:00"/>
    <s v="F"/>
    <x v="4"/>
    <x v="0"/>
    <x v="0"/>
    <x v="3"/>
    <x v="3"/>
    <x v="7"/>
    <x v="2"/>
  </r>
  <r>
    <x v="1401"/>
    <x v="8"/>
    <x v="9"/>
    <n v="39.299999999999997"/>
    <n v="196.5"/>
    <x v="52"/>
    <d v="2025-02-23T00:00:00"/>
    <s v="F"/>
    <x v="0"/>
    <x v="0"/>
    <x v="0"/>
    <x v="3"/>
    <x v="3"/>
    <x v="7"/>
    <x v="2"/>
  </r>
  <r>
    <x v="1402"/>
    <x v="2"/>
    <x v="12"/>
    <n v="85.2"/>
    <n v="340.8"/>
    <x v="52"/>
    <d v="2025-02-27T00:00:00"/>
    <s v="M"/>
    <x v="2"/>
    <x v="0"/>
    <x v="0"/>
    <x v="3"/>
    <x v="0"/>
    <x v="7"/>
    <x v="1"/>
  </r>
  <r>
    <x v="1403"/>
    <x v="8"/>
    <x v="13"/>
    <n v="16"/>
    <n v="96"/>
    <x v="52"/>
    <d v="2025-02-25T00:00:00"/>
    <s v="M"/>
    <x v="1"/>
    <x v="0"/>
    <x v="0"/>
    <x v="3"/>
    <x v="2"/>
    <x v="7"/>
    <x v="1"/>
  </r>
  <r>
    <x v="1404"/>
    <x v="1"/>
    <x v="1"/>
    <n v="33.799999999999997"/>
    <n v="67.599999999999994"/>
    <x v="52"/>
    <d v="2025-02-26T00:00:00"/>
    <s v="F"/>
    <x v="1"/>
    <x v="0"/>
    <x v="0"/>
    <x v="3"/>
    <x v="5"/>
    <x v="7"/>
    <x v="2"/>
  </r>
  <r>
    <x v="1405"/>
    <x v="3"/>
    <x v="0"/>
    <n v="70"/>
    <n v="70"/>
    <x v="52"/>
    <d v="2025-02-23T00:00:00"/>
    <s v="F"/>
    <x v="0"/>
    <x v="0"/>
    <x v="0"/>
    <x v="3"/>
    <x v="3"/>
    <x v="7"/>
    <x v="2"/>
  </r>
  <r>
    <x v="1406"/>
    <x v="9"/>
    <x v="0"/>
    <n v="88"/>
    <n v="88"/>
    <x v="52"/>
    <d v="2025-02-27T00:00:00"/>
    <s v="F"/>
    <x v="3"/>
    <x v="0"/>
    <x v="0"/>
    <x v="3"/>
    <x v="0"/>
    <x v="7"/>
    <x v="2"/>
  </r>
  <r>
    <x v="1407"/>
    <x v="2"/>
    <x v="2"/>
    <n v="74.099999999999994"/>
    <n v="222.29999999999998"/>
    <x v="52"/>
    <d v="2025-02-22T00:00:00"/>
    <s v="M"/>
    <x v="4"/>
    <x v="1"/>
    <x v="0"/>
    <x v="3"/>
    <x v="7"/>
    <x v="7"/>
    <x v="1"/>
  </r>
  <r>
    <x v="1408"/>
    <x v="2"/>
    <x v="0"/>
    <n v="161.9"/>
    <n v="161.9"/>
    <x v="52"/>
    <d v="2025-02-24T00:00:00"/>
    <s v="M"/>
    <x v="2"/>
    <x v="0"/>
    <x v="0"/>
    <x v="3"/>
    <x v="1"/>
    <x v="7"/>
    <x v="1"/>
  </r>
  <r>
    <x v="1409"/>
    <x v="4"/>
    <x v="1"/>
    <n v="44"/>
    <n v="88"/>
    <x v="52"/>
    <d v="2025-02-23T00:00:00"/>
    <s v="O"/>
    <x v="4"/>
    <x v="1"/>
    <x v="0"/>
    <x v="3"/>
    <x v="3"/>
    <x v="7"/>
    <x v="3"/>
  </r>
  <r>
    <x v="1410"/>
    <x v="11"/>
    <x v="0"/>
    <n v="32.1"/>
    <n v="32.1"/>
    <x v="52"/>
    <d v="2025-02-22T00:00:00"/>
    <s v="F"/>
    <x v="3"/>
    <x v="3"/>
    <x v="0"/>
    <x v="3"/>
    <x v="7"/>
    <x v="7"/>
    <x v="2"/>
  </r>
  <r>
    <x v="1411"/>
    <x v="2"/>
    <x v="12"/>
    <n v="104.8"/>
    <n v="419.2"/>
    <x v="53"/>
    <d v="2025-02-25T00:00:00"/>
    <s v="O"/>
    <x v="0"/>
    <x v="0"/>
    <x v="0"/>
    <x v="3"/>
    <x v="1"/>
    <x v="8"/>
    <x v="3"/>
  </r>
  <r>
    <x v="1412"/>
    <x v="9"/>
    <x v="13"/>
    <n v="67.400000000000006"/>
    <n v="404.40000000000003"/>
    <x v="53"/>
    <d v="2025-02-24T00:00:00"/>
    <s v="F"/>
    <x v="3"/>
    <x v="0"/>
    <x v="0"/>
    <x v="3"/>
    <x v="3"/>
    <x v="8"/>
    <x v="2"/>
  </r>
  <r>
    <x v="1413"/>
    <x v="6"/>
    <x v="1"/>
    <n v="115.2"/>
    <n v="230.4"/>
    <x v="53"/>
    <d v="2025-02-24T00:00:00"/>
    <s v="F"/>
    <x v="1"/>
    <x v="0"/>
    <x v="0"/>
    <x v="4"/>
    <x v="3"/>
    <x v="8"/>
    <x v="2"/>
  </r>
  <r>
    <x v="1414"/>
    <x v="8"/>
    <x v="19"/>
    <n v="15.5"/>
    <n v="449.5"/>
    <x v="53"/>
    <d v="2025-02-25T00:00:00"/>
    <s v="F"/>
    <x v="0"/>
    <x v="1"/>
    <x v="0"/>
    <x v="23"/>
    <x v="1"/>
    <x v="8"/>
    <x v="2"/>
  </r>
  <r>
    <x v="1415"/>
    <x v="6"/>
    <x v="5"/>
    <n v="66.400000000000006"/>
    <n v="730.40000000000009"/>
    <x v="53"/>
    <d v="2025-02-25T00:00:00"/>
    <s v="F"/>
    <x v="0"/>
    <x v="0"/>
    <x v="0"/>
    <x v="6"/>
    <x v="1"/>
    <x v="8"/>
    <x v="2"/>
  </r>
  <r>
    <x v="1416"/>
    <x v="9"/>
    <x v="4"/>
    <n v="68.099999999999994"/>
    <n v="817.19999999999993"/>
    <x v="53"/>
    <d v="2025-02-24T00:00:00"/>
    <s v="F"/>
    <x v="2"/>
    <x v="0"/>
    <x v="0"/>
    <x v="8"/>
    <x v="3"/>
    <x v="8"/>
    <x v="2"/>
  </r>
  <r>
    <x v="1417"/>
    <x v="8"/>
    <x v="9"/>
    <n v="32.5"/>
    <n v="162.5"/>
    <x v="53"/>
    <d v="2025-02-27T00:00:00"/>
    <s v="M"/>
    <x v="2"/>
    <x v="1"/>
    <x v="0"/>
    <x v="8"/>
    <x v="5"/>
    <x v="8"/>
    <x v="1"/>
  </r>
  <r>
    <x v="1418"/>
    <x v="15"/>
    <x v="2"/>
    <n v="61.2"/>
    <n v="183.60000000000002"/>
    <x v="53"/>
    <d v="2025-02-25T00:00:00"/>
    <s v="F"/>
    <x v="1"/>
    <x v="1"/>
    <x v="0"/>
    <x v="8"/>
    <x v="1"/>
    <x v="8"/>
    <x v="2"/>
  </r>
  <r>
    <x v="1419"/>
    <x v="9"/>
    <x v="1"/>
    <n v="54.2"/>
    <n v="108.4"/>
    <x v="53"/>
    <d v="2025-02-24T00:00:00"/>
    <s v="F"/>
    <x v="1"/>
    <x v="0"/>
    <x v="0"/>
    <x v="8"/>
    <x v="3"/>
    <x v="8"/>
    <x v="2"/>
  </r>
  <r>
    <x v="1420"/>
    <x v="11"/>
    <x v="8"/>
    <n v="28.7"/>
    <n v="229.6"/>
    <x v="53"/>
    <d v="2025-02-25T00:00:00"/>
    <s v="M"/>
    <x v="1"/>
    <x v="0"/>
    <x v="0"/>
    <x v="9"/>
    <x v="1"/>
    <x v="8"/>
    <x v="1"/>
  </r>
  <r>
    <x v="1421"/>
    <x v="12"/>
    <x v="13"/>
    <n v="38.200000000000003"/>
    <n v="229.20000000000002"/>
    <x v="53"/>
    <d v="2025-02-27T00:00:00"/>
    <s v="F"/>
    <x v="0"/>
    <x v="1"/>
    <x v="0"/>
    <x v="9"/>
    <x v="5"/>
    <x v="8"/>
    <x v="2"/>
  </r>
  <r>
    <x v="1422"/>
    <x v="8"/>
    <x v="4"/>
    <n v="17.600000000000001"/>
    <n v="211.20000000000002"/>
    <x v="53"/>
    <d v="2025-02-24T00:00:00"/>
    <s v="F"/>
    <x v="2"/>
    <x v="1"/>
    <x v="0"/>
    <x v="9"/>
    <x v="3"/>
    <x v="8"/>
    <x v="2"/>
  </r>
  <r>
    <x v="1423"/>
    <x v="10"/>
    <x v="2"/>
    <n v="74.599999999999994"/>
    <n v="223.79999999999998"/>
    <x v="53"/>
    <d v="2025-02-23T00:00:00"/>
    <s v="F"/>
    <x v="2"/>
    <x v="0"/>
    <x v="0"/>
    <x v="11"/>
    <x v="7"/>
    <x v="8"/>
    <x v="2"/>
  </r>
  <r>
    <x v="1424"/>
    <x v="16"/>
    <x v="20"/>
    <n v="72.599999999999994"/>
    <n v="1089"/>
    <x v="53"/>
    <d v="2025-02-23T00:00:00"/>
    <s v=""/>
    <x v="1"/>
    <x v="1"/>
    <x v="0"/>
    <x v="11"/>
    <x v="7"/>
    <x v="8"/>
    <x v="0"/>
  </r>
  <r>
    <x v="1425"/>
    <x v="7"/>
    <x v="0"/>
    <n v="62.3"/>
    <n v="62.3"/>
    <x v="53"/>
    <d v="2025-02-24T00:00:00"/>
    <s v="F"/>
    <x v="1"/>
    <x v="0"/>
    <x v="0"/>
    <x v="11"/>
    <x v="3"/>
    <x v="8"/>
    <x v="2"/>
  </r>
  <r>
    <x v="1426"/>
    <x v="3"/>
    <x v="2"/>
    <n v="33.799999999999997"/>
    <n v="101.39999999999999"/>
    <x v="53"/>
    <d v="2025-02-25T00:00:00"/>
    <s v="M"/>
    <x v="0"/>
    <x v="2"/>
    <x v="0"/>
    <x v="20"/>
    <x v="1"/>
    <x v="8"/>
    <x v="1"/>
  </r>
  <r>
    <x v="1427"/>
    <x v="9"/>
    <x v="0"/>
    <n v="85.7"/>
    <n v="85.7"/>
    <x v="53"/>
    <d v="2025-02-26T00:00:00"/>
    <s v="M"/>
    <x v="3"/>
    <x v="1"/>
    <x v="0"/>
    <x v="21"/>
    <x v="2"/>
    <x v="8"/>
    <x v="1"/>
  </r>
  <r>
    <x v="1428"/>
    <x v="6"/>
    <x v="1"/>
    <n v="92.1"/>
    <n v="184.2"/>
    <x v="53"/>
    <d v="2025-02-25T00:00:00"/>
    <s v="M"/>
    <x v="1"/>
    <x v="0"/>
    <x v="0"/>
    <x v="21"/>
    <x v="1"/>
    <x v="8"/>
    <x v="1"/>
  </r>
  <r>
    <x v="1429"/>
    <x v="16"/>
    <x v="2"/>
    <n v="65.099999999999994"/>
    <n v="195.29999999999998"/>
    <x v="53"/>
    <d v="2025-02-26T00:00:00"/>
    <s v="M"/>
    <x v="0"/>
    <x v="0"/>
    <x v="0"/>
    <x v="1"/>
    <x v="2"/>
    <x v="8"/>
    <x v="1"/>
  </r>
  <r>
    <x v="1430"/>
    <x v="9"/>
    <x v="3"/>
    <n v="20.3"/>
    <n v="142.1"/>
    <x v="53"/>
    <d v="2025-02-24T00:00:00"/>
    <s v="F"/>
    <x v="2"/>
    <x v="2"/>
    <x v="0"/>
    <x v="2"/>
    <x v="3"/>
    <x v="8"/>
    <x v="2"/>
  </r>
  <r>
    <x v="1431"/>
    <x v="19"/>
    <x v="1"/>
    <n v="29.8"/>
    <n v="59.6"/>
    <x v="53"/>
    <d v="2025-02-25T00:00:00"/>
    <s v="F"/>
    <x v="1"/>
    <x v="2"/>
    <x v="0"/>
    <x v="34"/>
    <x v="1"/>
    <x v="8"/>
    <x v="2"/>
  </r>
  <r>
    <x v="1432"/>
    <x v="0"/>
    <x v="1"/>
    <n v="24.2"/>
    <n v="48.4"/>
    <x v="53"/>
    <d v="2025-02-25T00:00:00"/>
    <s v="F"/>
    <x v="3"/>
    <x v="2"/>
    <x v="0"/>
    <x v="3"/>
    <x v="1"/>
    <x v="8"/>
    <x v="2"/>
  </r>
  <r>
    <x v="1433"/>
    <x v="3"/>
    <x v="0"/>
    <n v="57.3"/>
    <n v="57.3"/>
    <x v="53"/>
    <d v="2025-02-25T00:00:00"/>
    <s v="M"/>
    <x v="0"/>
    <x v="0"/>
    <x v="0"/>
    <x v="3"/>
    <x v="1"/>
    <x v="8"/>
    <x v="1"/>
  </r>
  <r>
    <x v="1434"/>
    <x v="2"/>
    <x v="0"/>
    <n v="108.9"/>
    <n v="108.9"/>
    <x v="53"/>
    <d v="2025-02-25T00:00:00"/>
    <s v="F"/>
    <x v="1"/>
    <x v="0"/>
    <x v="0"/>
    <x v="3"/>
    <x v="1"/>
    <x v="8"/>
    <x v="2"/>
  </r>
  <r>
    <x v="1435"/>
    <x v="7"/>
    <x v="9"/>
    <n v="50.7"/>
    <n v="253.5"/>
    <x v="53"/>
    <d v="2025-02-24T00:00:00"/>
    <s v="F"/>
    <x v="0"/>
    <x v="0"/>
    <x v="0"/>
    <x v="3"/>
    <x v="3"/>
    <x v="8"/>
    <x v="2"/>
  </r>
  <r>
    <x v="1436"/>
    <x v="7"/>
    <x v="11"/>
    <n v="66.099999999999994"/>
    <n v="594.9"/>
    <x v="53"/>
    <d v="2025-03-09T00:00:00"/>
    <s v="F"/>
    <x v="1"/>
    <x v="0"/>
    <x v="0"/>
    <x v="3"/>
    <x v="12"/>
    <x v="8"/>
    <x v="2"/>
  </r>
  <r>
    <x v="1437"/>
    <x v="12"/>
    <x v="9"/>
    <n v="36.700000000000003"/>
    <n v="183.5"/>
    <x v="53"/>
    <d v="2025-02-27T00:00:00"/>
    <s v="F"/>
    <x v="4"/>
    <x v="0"/>
    <x v="0"/>
    <x v="3"/>
    <x v="5"/>
    <x v="8"/>
    <x v="2"/>
  </r>
  <r>
    <x v="1438"/>
    <x v="8"/>
    <x v="14"/>
    <n v="19.3"/>
    <n v="328.1"/>
    <x v="53"/>
    <d v="2025-02-25T00:00:00"/>
    <s v="M"/>
    <x v="0"/>
    <x v="0"/>
    <x v="0"/>
    <x v="43"/>
    <x v="1"/>
    <x v="8"/>
    <x v="1"/>
  </r>
  <r>
    <x v="1439"/>
    <x v="8"/>
    <x v="12"/>
    <n v="20.7"/>
    <n v="82.8"/>
    <x v="53"/>
    <d v="2025-02-24T00:00:00"/>
    <s v="M"/>
    <x v="1"/>
    <x v="2"/>
    <x v="0"/>
    <x v="6"/>
    <x v="3"/>
    <x v="8"/>
    <x v="1"/>
  </r>
  <r>
    <x v="1440"/>
    <x v="5"/>
    <x v="2"/>
    <n v="54.7"/>
    <n v="164.10000000000002"/>
    <x v="53"/>
    <d v="2025-02-23T00:00:00"/>
    <s v="O"/>
    <x v="1"/>
    <x v="4"/>
    <x v="0"/>
    <x v="6"/>
    <x v="7"/>
    <x v="8"/>
    <x v="3"/>
  </r>
  <r>
    <x v="1441"/>
    <x v="4"/>
    <x v="1"/>
    <n v="19.8"/>
    <n v="39.6"/>
    <x v="53"/>
    <d v="2025-02-27T00:00:00"/>
    <s v="F"/>
    <x v="4"/>
    <x v="1"/>
    <x v="0"/>
    <x v="8"/>
    <x v="5"/>
    <x v="8"/>
    <x v="2"/>
  </r>
  <r>
    <x v="1442"/>
    <x v="7"/>
    <x v="0"/>
    <n v="41.1"/>
    <n v="41.1"/>
    <x v="53"/>
    <d v="2025-02-25T00:00:00"/>
    <s v="F"/>
    <x v="0"/>
    <x v="2"/>
    <x v="0"/>
    <x v="8"/>
    <x v="1"/>
    <x v="8"/>
    <x v="2"/>
  </r>
  <r>
    <x v="1443"/>
    <x v="11"/>
    <x v="8"/>
    <n v="43.5"/>
    <n v="348"/>
    <x v="53"/>
    <d v="2025-02-27T00:00:00"/>
    <s v="F"/>
    <x v="3"/>
    <x v="0"/>
    <x v="0"/>
    <x v="8"/>
    <x v="5"/>
    <x v="8"/>
    <x v="2"/>
  </r>
  <r>
    <x v="1444"/>
    <x v="8"/>
    <x v="21"/>
    <n v="19"/>
    <n v="266"/>
    <x v="53"/>
    <d v="2025-02-24T00:00:00"/>
    <s v="M"/>
    <x v="0"/>
    <x v="0"/>
    <x v="0"/>
    <x v="26"/>
    <x v="3"/>
    <x v="8"/>
    <x v="1"/>
  </r>
  <r>
    <x v="1445"/>
    <x v="2"/>
    <x v="12"/>
    <n v="51.4"/>
    <n v="205.6"/>
    <x v="53"/>
    <d v="2025-02-23T00:00:00"/>
    <s v="F"/>
    <x v="0"/>
    <x v="0"/>
    <x v="0"/>
    <x v="26"/>
    <x v="7"/>
    <x v="8"/>
    <x v="2"/>
  </r>
  <r>
    <x v="1446"/>
    <x v="10"/>
    <x v="1"/>
    <n v="39.799999999999997"/>
    <n v="79.599999999999994"/>
    <x v="53"/>
    <d v="2025-02-26T00:00:00"/>
    <s v="M"/>
    <x v="3"/>
    <x v="1"/>
    <x v="0"/>
    <x v="13"/>
    <x v="2"/>
    <x v="8"/>
    <x v="1"/>
  </r>
  <r>
    <x v="1447"/>
    <x v="6"/>
    <x v="9"/>
    <n v="61"/>
    <n v="305"/>
    <x v="53"/>
    <d v="2025-02-24T00:00:00"/>
    <s v=""/>
    <x v="0"/>
    <x v="2"/>
    <x v="0"/>
    <x v="21"/>
    <x v="3"/>
    <x v="8"/>
    <x v="0"/>
  </r>
  <r>
    <x v="1448"/>
    <x v="8"/>
    <x v="5"/>
    <n v="15.1"/>
    <n v="166.1"/>
    <x v="54"/>
    <d v="2025-03-01T00:00:00"/>
    <s v="M"/>
    <x v="3"/>
    <x v="2"/>
    <x v="0"/>
    <x v="2"/>
    <x v="0"/>
    <x v="8"/>
    <x v="1"/>
  </r>
  <r>
    <x v="1449"/>
    <x v="1"/>
    <x v="3"/>
    <n v="71.3"/>
    <n v="499.09999999999997"/>
    <x v="54"/>
    <d v="2025-02-25T00:00:00"/>
    <s v="M"/>
    <x v="4"/>
    <x v="0"/>
    <x v="0"/>
    <x v="3"/>
    <x v="3"/>
    <x v="8"/>
    <x v="1"/>
  </r>
  <r>
    <x v="1450"/>
    <x v="10"/>
    <x v="0"/>
    <n v="25.8"/>
    <n v="25.8"/>
    <x v="54"/>
    <d v="2025-02-26T00:00:00"/>
    <s v="F"/>
    <x v="0"/>
    <x v="2"/>
    <x v="0"/>
    <x v="3"/>
    <x v="1"/>
    <x v="8"/>
    <x v="2"/>
  </r>
  <r>
    <x v="1451"/>
    <x v="8"/>
    <x v="9"/>
    <n v="39.6"/>
    <n v="198"/>
    <x v="54"/>
    <d v="2025-02-26T00:00:00"/>
    <s v="M"/>
    <x v="1"/>
    <x v="2"/>
    <x v="0"/>
    <x v="3"/>
    <x v="1"/>
    <x v="8"/>
    <x v="1"/>
  </r>
  <r>
    <x v="1452"/>
    <x v="5"/>
    <x v="1"/>
    <n v="64"/>
    <n v="128"/>
    <x v="54"/>
    <d v="2025-02-24T00:00:00"/>
    <s v="M"/>
    <x v="1"/>
    <x v="1"/>
    <x v="0"/>
    <x v="3"/>
    <x v="7"/>
    <x v="8"/>
    <x v="1"/>
  </r>
  <r>
    <x v="1453"/>
    <x v="8"/>
    <x v="1"/>
    <n v="30.6"/>
    <n v="61.2"/>
    <x v="54"/>
    <d v="2025-02-27T00:00:00"/>
    <s v="M"/>
    <x v="0"/>
    <x v="2"/>
    <x v="0"/>
    <x v="3"/>
    <x v="2"/>
    <x v="8"/>
    <x v="1"/>
  </r>
  <r>
    <x v="1454"/>
    <x v="8"/>
    <x v="1"/>
    <n v="21.3"/>
    <n v="42.6"/>
    <x v="54"/>
    <d v="2025-02-25T00:00:00"/>
    <s v="M"/>
    <x v="0"/>
    <x v="1"/>
    <x v="0"/>
    <x v="3"/>
    <x v="3"/>
    <x v="8"/>
    <x v="1"/>
  </r>
  <r>
    <x v="1455"/>
    <x v="7"/>
    <x v="0"/>
    <n v="40.799999999999997"/>
    <n v="40.799999999999997"/>
    <x v="54"/>
    <d v="2025-02-26T00:00:00"/>
    <s v="F"/>
    <x v="4"/>
    <x v="0"/>
    <x v="0"/>
    <x v="3"/>
    <x v="1"/>
    <x v="8"/>
    <x v="2"/>
  </r>
  <r>
    <x v="1456"/>
    <x v="9"/>
    <x v="12"/>
    <n v="27.7"/>
    <n v="110.8"/>
    <x v="54"/>
    <d v="2025-02-25T00:00:00"/>
    <s v="F"/>
    <x v="0"/>
    <x v="1"/>
    <x v="0"/>
    <x v="3"/>
    <x v="3"/>
    <x v="8"/>
    <x v="2"/>
  </r>
  <r>
    <x v="1457"/>
    <x v="6"/>
    <x v="1"/>
    <n v="64.599999999999994"/>
    <n v="129.19999999999999"/>
    <x v="54"/>
    <d v="2025-02-25T00:00:00"/>
    <s v="M"/>
    <x v="0"/>
    <x v="1"/>
    <x v="0"/>
    <x v="3"/>
    <x v="3"/>
    <x v="8"/>
    <x v="1"/>
  </r>
  <r>
    <x v="1458"/>
    <x v="6"/>
    <x v="27"/>
    <n v="91.1"/>
    <n v="1457.6"/>
    <x v="54"/>
    <d v="2025-02-25T00:00:00"/>
    <s v="F"/>
    <x v="1"/>
    <x v="2"/>
    <x v="0"/>
    <x v="3"/>
    <x v="3"/>
    <x v="8"/>
    <x v="2"/>
  </r>
  <r>
    <x v="1459"/>
    <x v="1"/>
    <x v="0"/>
    <n v="39.5"/>
    <n v="39.5"/>
    <x v="54"/>
    <d v="2025-03-04T00:00:00"/>
    <s v="F"/>
    <x v="0"/>
    <x v="0"/>
    <x v="0"/>
    <x v="3"/>
    <x v="9"/>
    <x v="8"/>
    <x v="2"/>
  </r>
  <r>
    <x v="1460"/>
    <x v="9"/>
    <x v="1"/>
    <n v="21.8"/>
    <n v="43.6"/>
    <x v="54"/>
    <d v="2025-02-28T00:00:00"/>
    <s v="M"/>
    <x v="4"/>
    <x v="2"/>
    <x v="0"/>
    <x v="3"/>
    <x v="5"/>
    <x v="8"/>
    <x v="1"/>
  </r>
  <r>
    <x v="1461"/>
    <x v="8"/>
    <x v="1"/>
    <n v="51"/>
    <n v="102"/>
    <x v="54"/>
    <d v="2025-02-27T00:00:00"/>
    <s v="M"/>
    <x v="3"/>
    <x v="2"/>
    <x v="0"/>
    <x v="3"/>
    <x v="2"/>
    <x v="8"/>
    <x v="1"/>
  </r>
  <r>
    <x v="1462"/>
    <x v="2"/>
    <x v="0"/>
    <n v="92.6"/>
    <n v="92.6"/>
    <x v="54"/>
    <d v="2025-02-27T00:00:00"/>
    <s v="F"/>
    <x v="0"/>
    <x v="2"/>
    <x v="0"/>
    <x v="35"/>
    <x v="2"/>
    <x v="8"/>
    <x v="2"/>
  </r>
  <r>
    <x v="1463"/>
    <x v="9"/>
    <x v="1"/>
    <n v="31.1"/>
    <n v="62.2"/>
    <x v="54"/>
    <d v="2025-03-01T00:00:00"/>
    <s v=""/>
    <x v="1"/>
    <x v="3"/>
    <x v="0"/>
    <x v="23"/>
    <x v="0"/>
    <x v="8"/>
    <x v="0"/>
  </r>
  <r>
    <x v="1464"/>
    <x v="5"/>
    <x v="2"/>
    <n v="56.4"/>
    <n v="169.2"/>
    <x v="54"/>
    <d v="2025-02-25T00:00:00"/>
    <s v=""/>
    <x v="1"/>
    <x v="0"/>
    <x v="0"/>
    <x v="6"/>
    <x v="3"/>
    <x v="8"/>
    <x v="0"/>
  </r>
  <r>
    <x v="1465"/>
    <x v="9"/>
    <x v="0"/>
    <n v="41.9"/>
    <n v="41.9"/>
    <x v="54"/>
    <d v="2025-02-24T00:00:00"/>
    <s v="M"/>
    <x v="1"/>
    <x v="0"/>
    <x v="0"/>
    <x v="6"/>
    <x v="7"/>
    <x v="8"/>
    <x v="1"/>
  </r>
  <r>
    <x v="1466"/>
    <x v="10"/>
    <x v="3"/>
    <n v="45.9"/>
    <n v="321.3"/>
    <x v="54"/>
    <d v="2025-02-25T00:00:00"/>
    <s v="M"/>
    <x v="3"/>
    <x v="2"/>
    <x v="0"/>
    <x v="8"/>
    <x v="3"/>
    <x v="8"/>
    <x v="1"/>
  </r>
  <r>
    <x v="1467"/>
    <x v="14"/>
    <x v="11"/>
    <n v="24.4"/>
    <n v="219.6"/>
    <x v="54"/>
    <d v="2025-02-28T00:00:00"/>
    <s v="M"/>
    <x v="3"/>
    <x v="2"/>
    <x v="0"/>
    <x v="8"/>
    <x v="5"/>
    <x v="8"/>
    <x v="1"/>
  </r>
  <r>
    <x v="1468"/>
    <x v="8"/>
    <x v="0"/>
    <n v="18.2"/>
    <n v="18.2"/>
    <x v="54"/>
    <d v="2025-02-25T00:00:00"/>
    <s v="F"/>
    <x v="2"/>
    <x v="2"/>
    <x v="0"/>
    <x v="8"/>
    <x v="3"/>
    <x v="8"/>
    <x v="2"/>
  </r>
  <r>
    <x v="1469"/>
    <x v="8"/>
    <x v="12"/>
    <n v="51.2"/>
    <n v="204.8"/>
    <x v="54"/>
    <d v="2025-02-25T00:00:00"/>
    <s v="F"/>
    <x v="0"/>
    <x v="0"/>
    <x v="0"/>
    <x v="8"/>
    <x v="3"/>
    <x v="8"/>
    <x v="2"/>
  </r>
  <r>
    <x v="1470"/>
    <x v="6"/>
    <x v="0"/>
    <n v="59.7"/>
    <n v="59.7"/>
    <x v="54"/>
    <d v="2025-02-27T00:00:00"/>
    <s v="M"/>
    <x v="0"/>
    <x v="2"/>
    <x v="0"/>
    <x v="8"/>
    <x v="2"/>
    <x v="8"/>
    <x v="1"/>
  </r>
  <r>
    <x v="1471"/>
    <x v="4"/>
    <x v="1"/>
    <n v="33.6"/>
    <n v="67.2"/>
    <x v="54"/>
    <d v="2025-02-26T00:00:00"/>
    <s v="F"/>
    <x v="0"/>
    <x v="0"/>
    <x v="0"/>
    <x v="17"/>
    <x v="1"/>
    <x v="8"/>
    <x v="2"/>
  </r>
  <r>
    <x v="1472"/>
    <x v="12"/>
    <x v="0"/>
    <n v="90.4"/>
    <n v="90.4"/>
    <x v="54"/>
    <d v="2025-02-28T00:00:00"/>
    <s v="M"/>
    <x v="1"/>
    <x v="2"/>
    <x v="0"/>
    <x v="10"/>
    <x v="5"/>
    <x v="8"/>
    <x v="1"/>
  </r>
  <r>
    <x v="1473"/>
    <x v="11"/>
    <x v="2"/>
    <n v="70.3"/>
    <n v="210.89999999999998"/>
    <x v="54"/>
    <d v="2025-02-24T00:00:00"/>
    <s v="M"/>
    <x v="1"/>
    <x v="2"/>
    <x v="0"/>
    <x v="11"/>
    <x v="7"/>
    <x v="8"/>
    <x v="1"/>
  </r>
  <r>
    <x v="1474"/>
    <x v="4"/>
    <x v="1"/>
    <n v="20.5"/>
    <n v="41"/>
    <x v="54"/>
    <d v="2025-02-27T00:00:00"/>
    <s v="F"/>
    <x v="0"/>
    <x v="1"/>
    <x v="0"/>
    <x v="11"/>
    <x v="2"/>
    <x v="8"/>
    <x v="2"/>
  </r>
  <r>
    <x v="1475"/>
    <x v="5"/>
    <x v="5"/>
    <n v="37.6"/>
    <n v="413.6"/>
    <x v="54"/>
    <d v="2025-02-25T00:00:00"/>
    <s v="M"/>
    <x v="0"/>
    <x v="0"/>
    <x v="0"/>
    <x v="38"/>
    <x v="3"/>
    <x v="8"/>
    <x v="1"/>
  </r>
  <r>
    <x v="1476"/>
    <x v="5"/>
    <x v="12"/>
    <n v="61.5"/>
    <n v="246"/>
    <x v="54"/>
    <d v="2025-03-03T00:00:00"/>
    <s v="F"/>
    <x v="1"/>
    <x v="4"/>
    <x v="0"/>
    <x v="13"/>
    <x v="6"/>
    <x v="8"/>
    <x v="2"/>
  </r>
  <r>
    <x v="1477"/>
    <x v="9"/>
    <x v="0"/>
    <n v="33.5"/>
    <n v="33.5"/>
    <x v="55"/>
    <d v="2025-03-01T00:00:00"/>
    <s v="M"/>
    <x v="4"/>
    <x v="1"/>
    <x v="0"/>
    <x v="21"/>
    <x v="5"/>
    <x v="8"/>
    <x v="1"/>
  </r>
  <r>
    <x v="1478"/>
    <x v="4"/>
    <x v="2"/>
    <n v="29.3"/>
    <n v="87.9"/>
    <x v="55"/>
    <d v="2025-02-27T00:00:00"/>
    <s v="F"/>
    <x v="1"/>
    <x v="2"/>
    <x v="0"/>
    <x v="1"/>
    <x v="1"/>
    <x v="8"/>
    <x v="2"/>
  </r>
  <r>
    <x v="1479"/>
    <x v="2"/>
    <x v="1"/>
    <n v="125.9"/>
    <n v="251.8"/>
    <x v="55"/>
    <d v="2025-03-02T00:00:00"/>
    <s v="F"/>
    <x v="4"/>
    <x v="1"/>
    <x v="0"/>
    <x v="1"/>
    <x v="0"/>
    <x v="8"/>
    <x v="2"/>
  </r>
  <r>
    <x v="1480"/>
    <x v="5"/>
    <x v="9"/>
    <n v="29.3"/>
    <n v="146.5"/>
    <x v="55"/>
    <d v="2025-02-25T00:00:00"/>
    <s v="M"/>
    <x v="2"/>
    <x v="0"/>
    <x v="0"/>
    <x v="44"/>
    <x v="7"/>
    <x v="8"/>
    <x v="1"/>
  </r>
  <r>
    <x v="1481"/>
    <x v="9"/>
    <x v="0"/>
    <n v="37.799999999999997"/>
    <n v="37.799999999999997"/>
    <x v="55"/>
    <d v="2025-02-28T00:00:00"/>
    <s v="F"/>
    <x v="0"/>
    <x v="2"/>
    <x v="0"/>
    <x v="3"/>
    <x v="2"/>
    <x v="8"/>
    <x v="2"/>
  </r>
  <r>
    <x v="1482"/>
    <x v="0"/>
    <x v="12"/>
    <n v="31.7"/>
    <n v="126.8"/>
    <x v="55"/>
    <d v="2025-02-26T00:00:00"/>
    <s v="M"/>
    <x v="2"/>
    <x v="2"/>
    <x v="0"/>
    <x v="3"/>
    <x v="3"/>
    <x v="8"/>
    <x v="1"/>
  </r>
  <r>
    <x v="1483"/>
    <x v="8"/>
    <x v="9"/>
    <n v="26.3"/>
    <n v="131.5"/>
    <x v="55"/>
    <d v="2025-02-26T00:00:00"/>
    <s v="F"/>
    <x v="3"/>
    <x v="2"/>
    <x v="0"/>
    <x v="3"/>
    <x v="3"/>
    <x v="8"/>
    <x v="2"/>
  </r>
  <r>
    <x v="1484"/>
    <x v="8"/>
    <x v="2"/>
    <n v="23.1"/>
    <n v="69.300000000000011"/>
    <x v="55"/>
    <d v="2025-02-26T00:00:00"/>
    <s v="O"/>
    <x v="2"/>
    <x v="1"/>
    <x v="0"/>
    <x v="3"/>
    <x v="3"/>
    <x v="8"/>
    <x v="3"/>
  </r>
  <r>
    <x v="1485"/>
    <x v="4"/>
    <x v="0"/>
    <n v="22.3"/>
    <n v="22.3"/>
    <x v="55"/>
    <d v="2025-02-27T00:00:00"/>
    <s v="F"/>
    <x v="2"/>
    <x v="0"/>
    <x v="0"/>
    <x v="3"/>
    <x v="1"/>
    <x v="8"/>
    <x v="2"/>
  </r>
  <r>
    <x v="1486"/>
    <x v="12"/>
    <x v="1"/>
    <n v="99.5"/>
    <n v="199"/>
    <x v="55"/>
    <d v="2025-02-27T00:00:00"/>
    <s v="F"/>
    <x v="2"/>
    <x v="0"/>
    <x v="0"/>
    <x v="3"/>
    <x v="1"/>
    <x v="8"/>
    <x v="2"/>
  </r>
  <r>
    <x v="1487"/>
    <x v="12"/>
    <x v="12"/>
    <n v="47.4"/>
    <n v="189.6"/>
    <x v="55"/>
    <d v="2025-02-28T00:00:00"/>
    <s v="F"/>
    <x v="1"/>
    <x v="0"/>
    <x v="0"/>
    <x v="3"/>
    <x v="2"/>
    <x v="8"/>
    <x v="2"/>
  </r>
  <r>
    <x v="1488"/>
    <x v="0"/>
    <x v="5"/>
    <n v="37.5"/>
    <n v="412.5"/>
    <x v="55"/>
    <d v="2025-02-27T00:00:00"/>
    <s v="F"/>
    <x v="0"/>
    <x v="3"/>
    <x v="0"/>
    <x v="3"/>
    <x v="1"/>
    <x v="8"/>
    <x v="2"/>
  </r>
  <r>
    <x v="1489"/>
    <x v="10"/>
    <x v="0"/>
    <n v="45.1"/>
    <n v="45.1"/>
    <x v="55"/>
    <d v="2025-03-02T00:00:00"/>
    <s v="M"/>
    <x v="3"/>
    <x v="2"/>
    <x v="0"/>
    <x v="24"/>
    <x v="0"/>
    <x v="8"/>
    <x v="1"/>
  </r>
  <r>
    <x v="1490"/>
    <x v="5"/>
    <x v="7"/>
    <n v="34.4"/>
    <n v="344"/>
    <x v="55"/>
    <d v="2025-02-28T00:00:00"/>
    <s v="M"/>
    <x v="2"/>
    <x v="0"/>
    <x v="0"/>
    <x v="16"/>
    <x v="2"/>
    <x v="8"/>
    <x v="1"/>
  </r>
  <r>
    <x v="1491"/>
    <x v="4"/>
    <x v="1"/>
    <n v="38"/>
    <n v="76"/>
    <x v="55"/>
    <d v="2025-02-27T00:00:00"/>
    <s v="F"/>
    <x v="1"/>
    <x v="0"/>
    <x v="0"/>
    <x v="5"/>
    <x v="1"/>
    <x v="8"/>
    <x v="2"/>
  </r>
  <r>
    <x v="1492"/>
    <x v="3"/>
    <x v="21"/>
    <n v="32.4"/>
    <n v="453.59999999999997"/>
    <x v="55"/>
    <d v="2025-02-28T00:00:00"/>
    <s v="M"/>
    <x v="4"/>
    <x v="0"/>
    <x v="0"/>
    <x v="6"/>
    <x v="2"/>
    <x v="8"/>
    <x v="1"/>
  </r>
  <r>
    <x v="1493"/>
    <x v="6"/>
    <x v="2"/>
    <n v="40.9"/>
    <n v="122.69999999999999"/>
    <x v="55"/>
    <d v="2025-02-25T00:00:00"/>
    <s v=""/>
    <x v="1"/>
    <x v="0"/>
    <x v="0"/>
    <x v="8"/>
    <x v="7"/>
    <x v="8"/>
    <x v="0"/>
  </r>
  <r>
    <x v="1494"/>
    <x v="7"/>
    <x v="3"/>
    <n v="76.2"/>
    <n v="533.4"/>
    <x v="55"/>
    <d v="2025-02-27T00:00:00"/>
    <s v="F"/>
    <x v="2"/>
    <x v="1"/>
    <x v="0"/>
    <x v="8"/>
    <x v="1"/>
    <x v="8"/>
    <x v="2"/>
  </r>
  <r>
    <x v="1495"/>
    <x v="2"/>
    <x v="0"/>
    <n v="85.6"/>
    <n v="85.6"/>
    <x v="55"/>
    <d v="2025-02-27T00:00:00"/>
    <s v="M"/>
    <x v="2"/>
    <x v="0"/>
    <x v="0"/>
    <x v="8"/>
    <x v="1"/>
    <x v="8"/>
    <x v="1"/>
  </r>
  <r>
    <x v="1496"/>
    <x v="4"/>
    <x v="12"/>
    <n v="25"/>
    <n v="100"/>
    <x v="55"/>
    <d v="2025-02-27T00:00:00"/>
    <s v="F"/>
    <x v="2"/>
    <x v="2"/>
    <x v="0"/>
    <x v="8"/>
    <x v="1"/>
    <x v="8"/>
    <x v="2"/>
  </r>
  <r>
    <x v="1497"/>
    <x v="2"/>
    <x v="9"/>
    <n v="150.69999999999999"/>
    <n v="753.5"/>
    <x v="55"/>
    <d v="2025-02-26T00:00:00"/>
    <s v=""/>
    <x v="0"/>
    <x v="2"/>
    <x v="0"/>
    <x v="8"/>
    <x v="3"/>
    <x v="8"/>
    <x v="0"/>
  </r>
  <r>
    <x v="1498"/>
    <x v="8"/>
    <x v="0"/>
    <n v="19.600000000000001"/>
    <n v="19.600000000000001"/>
    <x v="55"/>
    <d v="2025-02-26T00:00:00"/>
    <s v="M"/>
    <x v="1"/>
    <x v="4"/>
    <x v="0"/>
    <x v="8"/>
    <x v="3"/>
    <x v="8"/>
    <x v="1"/>
  </r>
  <r>
    <x v="1499"/>
    <x v="13"/>
    <x v="1"/>
    <n v="37.5"/>
    <n v="75"/>
    <x v="55"/>
    <d v="2025-02-28T00:00:00"/>
    <s v="F"/>
    <x v="1"/>
    <x v="2"/>
    <x v="0"/>
    <x v="17"/>
    <x v="2"/>
    <x v="8"/>
    <x v="2"/>
  </r>
  <r>
    <x v="1500"/>
    <x v="9"/>
    <x v="2"/>
    <n v="51.9"/>
    <n v="155.69999999999999"/>
    <x v="55"/>
    <d v="2025-03-03T00:00:00"/>
    <s v="F"/>
    <x v="0"/>
    <x v="4"/>
    <x v="0"/>
    <x v="11"/>
    <x v="4"/>
    <x v="8"/>
    <x v="2"/>
  </r>
  <r>
    <x v="1501"/>
    <x v="1"/>
    <x v="1"/>
    <n v="30.9"/>
    <n v="61.8"/>
    <x v="55"/>
    <d v="2025-02-27T00:00:00"/>
    <s v="F"/>
    <x v="1"/>
    <x v="0"/>
    <x v="0"/>
    <x v="18"/>
    <x v="1"/>
    <x v="8"/>
    <x v="2"/>
  </r>
  <r>
    <x v="1502"/>
    <x v="4"/>
    <x v="2"/>
    <n v="21.2"/>
    <n v="63.599999999999994"/>
    <x v="55"/>
    <d v="2025-02-28T00:00:00"/>
    <s v="F"/>
    <x v="1"/>
    <x v="0"/>
    <x v="0"/>
    <x v="19"/>
    <x v="2"/>
    <x v="8"/>
    <x v="2"/>
  </r>
  <r>
    <x v="1503"/>
    <x v="13"/>
    <x v="14"/>
    <n v="17.5"/>
    <n v="297.5"/>
    <x v="55"/>
    <d v="2025-02-26T00:00:00"/>
    <s v="M"/>
    <x v="1"/>
    <x v="1"/>
    <x v="0"/>
    <x v="13"/>
    <x v="3"/>
    <x v="8"/>
    <x v="1"/>
  </r>
  <r>
    <x v="1504"/>
    <x v="12"/>
    <x v="1"/>
    <n v="53.8"/>
    <n v="107.6"/>
    <x v="55"/>
    <d v="2025-03-02T00:00:00"/>
    <s v="F"/>
    <x v="0"/>
    <x v="2"/>
    <x v="0"/>
    <x v="21"/>
    <x v="0"/>
    <x v="8"/>
    <x v="2"/>
  </r>
  <r>
    <x v="1505"/>
    <x v="19"/>
    <x v="1"/>
    <n v="17"/>
    <n v="34"/>
    <x v="55"/>
    <d v="2025-02-26T00:00:00"/>
    <s v="M"/>
    <x v="3"/>
    <x v="0"/>
    <x v="0"/>
    <x v="21"/>
    <x v="3"/>
    <x v="8"/>
    <x v="1"/>
  </r>
  <r>
    <x v="1506"/>
    <x v="6"/>
    <x v="0"/>
    <n v="103.2"/>
    <n v="103.2"/>
    <x v="55"/>
    <d v="2025-03-05T00:00:00"/>
    <s v="M"/>
    <x v="2"/>
    <x v="1"/>
    <x v="0"/>
    <x v="1"/>
    <x v="9"/>
    <x v="8"/>
    <x v="1"/>
  </r>
  <r>
    <x v="1507"/>
    <x v="6"/>
    <x v="12"/>
    <n v="70.3"/>
    <n v="281.2"/>
    <x v="55"/>
    <d v="2025-02-26T00:00:00"/>
    <s v="M"/>
    <x v="0"/>
    <x v="0"/>
    <x v="0"/>
    <x v="3"/>
    <x v="3"/>
    <x v="8"/>
    <x v="1"/>
  </r>
  <r>
    <x v="1508"/>
    <x v="2"/>
    <x v="1"/>
    <n v="73.8"/>
    <n v="147.6"/>
    <x v="55"/>
    <d v="2025-02-25T00:00:00"/>
    <s v="M"/>
    <x v="3"/>
    <x v="2"/>
    <x v="0"/>
    <x v="3"/>
    <x v="7"/>
    <x v="8"/>
    <x v="1"/>
  </r>
  <r>
    <x v="1509"/>
    <x v="1"/>
    <x v="4"/>
    <n v="67.7"/>
    <n v="812.40000000000009"/>
    <x v="55"/>
    <d v="2025-03-01T00:00:00"/>
    <s v="M"/>
    <x v="1"/>
    <x v="1"/>
    <x v="0"/>
    <x v="3"/>
    <x v="5"/>
    <x v="8"/>
    <x v="1"/>
  </r>
  <r>
    <x v="1510"/>
    <x v="13"/>
    <x v="3"/>
    <n v="43.8"/>
    <n v="306.59999999999997"/>
    <x v="55"/>
    <d v="2025-02-27T00:00:00"/>
    <s v="M"/>
    <x v="1"/>
    <x v="0"/>
    <x v="0"/>
    <x v="3"/>
    <x v="1"/>
    <x v="8"/>
    <x v="1"/>
  </r>
  <r>
    <x v="1511"/>
    <x v="17"/>
    <x v="13"/>
    <n v="71.900000000000006"/>
    <n v="431.40000000000003"/>
    <x v="55"/>
    <d v="2025-02-26T00:00:00"/>
    <s v="F"/>
    <x v="2"/>
    <x v="0"/>
    <x v="0"/>
    <x v="3"/>
    <x v="3"/>
    <x v="8"/>
    <x v="2"/>
  </r>
  <r>
    <x v="1512"/>
    <x v="8"/>
    <x v="1"/>
    <n v="26.3"/>
    <n v="52.6"/>
    <x v="56"/>
    <d v="2025-02-28T00:00:00"/>
    <s v="F"/>
    <x v="0"/>
    <x v="1"/>
    <x v="0"/>
    <x v="3"/>
    <x v="1"/>
    <x v="8"/>
    <x v="2"/>
  </r>
  <r>
    <x v="1513"/>
    <x v="6"/>
    <x v="12"/>
    <n v="52.6"/>
    <n v="210.4"/>
    <x v="56"/>
    <d v="2025-02-28T00:00:00"/>
    <s v="F"/>
    <x v="2"/>
    <x v="1"/>
    <x v="0"/>
    <x v="3"/>
    <x v="1"/>
    <x v="8"/>
    <x v="2"/>
  </r>
  <r>
    <x v="1514"/>
    <x v="10"/>
    <x v="0"/>
    <n v="32.700000000000003"/>
    <n v="32.700000000000003"/>
    <x v="56"/>
    <d v="2025-03-05T00:00:00"/>
    <s v="F"/>
    <x v="0"/>
    <x v="2"/>
    <x v="0"/>
    <x v="3"/>
    <x v="6"/>
    <x v="8"/>
    <x v="2"/>
  </r>
  <r>
    <x v="1515"/>
    <x v="5"/>
    <x v="12"/>
    <n v="38.9"/>
    <n v="155.6"/>
    <x v="56"/>
    <d v="2025-02-27T00:00:00"/>
    <s v="F"/>
    <x v="0"/>
    <x v="0"/>
    <x v="0"/>
    <x v="3"/>
    <x v="3"/>
    <x v="8"/>
    <x v="2"/>
  </r>
  <r>
    <x v="1516"/>
    <x v="9"/>
    <x v="9"/>
    <n v="35"/>
    <n v="175"/>
    <x v="56"/>
    <d v="2025-02-28T00:00:00"/>
    <s v="M"/>
    <x v="0"/>
    <x v="0"/>
    <x v="0"/>
    <x v="3"/>
    <x v="1"/>
    <x v="8"/>
    <x v="1"/>
  </r>
  <r>
    <x v="1517"/>
    <x v="2"/>
    <x v="1"/>
    <n v="121"/>
    <n v="242"/>
    <x v="56"/>
    <d v="2025-02-27T00:00:00"/>
    <s v="F"/>
    <x v="1"/>
    <x v="1"/>
    <x v="0"/>
    <x v="3"/>
    <x v="3"/>
    <x v="8"/>
    <x v="2"/>
  </r>
  <r>
    <x v="1518"/>
    <x v="6"/>
    <x v="2"/>
    <n v="65.099999999999994"/>
    <n v="195.29999999999998"/>
    <x v="56"/>
    <d v="2025-03-02T00:00:00"/>
    <s v="M"/>
    <x v="2"/>
    <x v="0"/>
    <x v="0"/>
    <x v="36"/>
    <x v="5"/>
    <x v="8"/>
    <x v="1"/>
  </r>
  <r>
    <x v="1519"/>
    <x v="1"/>
    <x v="38"/>
    <n v="63.8"/>
    <n v="1339.8"/>
    <x v="56"/>
    <d v="2025-02-28T00:00:00"/>
    <s v="F"/>
    <x v="0"/>
    <x v="0"/>
    <x v="0"/>
    <x v="8"/>
    <x v="1"/>
    <x v="8"/>
    <x v="2"/>
  </r>
  <r>
    <x v="1520"/>
    <x v="7"/>
    <x v="0"/>
    <n v="77.7"/>
    <n v="77.7"/>
    <x v="56"/>
    <d v="2025-02-28T00:00:00"/>
    <s v="M"/>
    <x v="0"/>
    <x v="0"/>
    <x v="0"/>
    <x v="8"/>
    <x v="1"/>
    <x v="8"/>
    <x v="1"/>
  </r>
  <r>
    <x v="1521"/>
    <x v="5"/>
    <x v="12"/>
    <n v="60.3"/>
    <n v="241.2"/>
    <x v="56"/>
    <d v="2025-02-26T00:00:00"/>
    <s v="M"/>
    <x v="0"/>
    <x v="2"/>
    <x v="0"/>
    <x v="8"/>
    <x v="7"/>
    <x v="8"/>
    <x v="1"/>
  </r>
  <r>
    <x v="1522"/>
    <x v="5"/>
    <x v="1"/>
    <n v="124.1"/>
    <n v="248.2"/>
    <x v="56"/>
    <d v="2025-03-01T00:00:00"/>
    <s v="F"/>
    <x v="0"/>
    <x v="2"/>
    <x v="0"/>
    <x v="8"/>
    <x v="2"/>
    <x v="8"/>
    <x v="2"/>
  </r>
  <r>
    <x v="1523"/>
    <x v="16"/>
    <x v="3"/>
    <n v="66"/>
    <n v="462"/>
    <x v="56"/>
    <d v="2025-02-26T00:00:00"/>
    <s v=""/>
    <x v="3"/>
    <x v="0"/>
    <x v="0"/>
    <x v="17"/>
    <x v="7"/>
    <x v="8"/>
    <x v="0"/>
  </r>
  <r>
    <x v="1524"/>
    <x v="2"/>
    <x v="42"/>
    <n v="118.2"/>
    <n v="7446.6"/>
    <x v="56"/>
    <d v="2025-03-03T00:00:00"/>
    <s v=""/>
    <x v="0"/>
    <x v="0"/>
    <x v="0"/>
    <x v="17"/>
    <x v="0"/>
    <x v="8"/>
    <x v="0"/>
  </r>
  <r>
    <x v="1525"/>
    <x v="5"/>
    <x v="9"/>
    <n v="64.3"/>
    <n v="321.5"/>
    <x v="56"/>
    <d v="2025-02-27T00:00:00"/>
    <s v="M"/>
    <x v="4"/>
    <x v="4"/>
    <x v="0"/>
    <x v="26"/>
    <x v="3"/>
    <x v="8"/>
    <x v="1"/>
  </r>
  <r>
    <x v="1526"/>
    <x v="1"/>
    <x v="1"/>
    <n v="54.8"/>
    <n v="109.6"/>
    <x v="56"/>
    <d v="2025-02-26T00:00:00"/>
    <s v="M"/>
    <x v="0"/>
    <x v="1"/>
    <x v="0"/>
    <x v="26"/>
    <x v="7"/>
    <x v="8"/>
    <x v="1"/>
  </r>
  <r>
    <x v="1527"/>
    <x v="7"/>
    <x v="1"/>
    <n v="78.599999999999994"/>
    <n v="157.19999999999999"/>
    <x v="56"/>
    <d v="2025-02-27T00:00:00"/>
    <s v="M"/>
    <x v="0"/>
    <x v="2"/>
    <x v="0"/>
    <x v="9"/>
    <x v="3"/>
    <x v="8"/>
    <x v="1"/>
  </r>
  <r>
    <x v="1528"/>
    <x v="2"/>
    <x v="9"/>
    <n v="158.5"/>
    <n v="792.5"/>
    <x v="56"/>
    <d v="2025-02-28T00:00:00"/>
    <s v=""/>
    <x v="2"/>
    <x v="2"/>
    <x v="0"/>
    <x v="9"/>
    <x v="1"/>
    <x v="8"/>
    <x v="0"/>
  </r>
  <r>
    <x v="1529"/>
    <x v="4"/>
    <x v="7"/>
    <n v="23.5"/>
    <n v="235"/>
    <x v="56"/>
    <d v="2025-03-01T00:00:00"/>
    <s v="M"/>
    <x v="0"/>
    <x v="4"/>
    <x v="0"/>
    <x v="10"/>
    <x v="2"/>
    <x v="8"/>
    <x v="1"/>
  </r>
  <r>
    <x v="1530"/>
    <x v="5"/>
    <x v="1"/>
    <n v="32.1"/>
    <n v="64.2"/>
    <x v="56"/>
    <d v="2025-02-28T00:00:00"/>
    <s v=""/>
    <x v="3"/>
    <x v="0"/>
    <x v="0"/>
    <x v="10"/>
    <x v="1"/>
    <x v="8"/>
    <x v="0"/>
  </r>
  <r>
    <x v="1531"/>
    <x v="17"/>
    <x v="12"/>
    <n v="71.900000000000006"/>
    <n v="287.60000000000002"/>
    <x v="56"/>
    <d v="2025-02-26T00:00:00"/>
    <s v="M"/>
    <x v="2"/>
    <x v="0"/>
    <x v="0"/>
    <x v="19"/>
    <x v="7"/>
    <x v="8"/>
    <x v="1"/>
  </r>
  <r>
    <x v="1532"/>
    <x v="4"/>
    <x v="13"/>
    <n v="22.3"/>
    <n v="133.80000000000001"/>
    <x v="56"/>
    <d v="2025-02-27T00:00:00"/>
    <s v=""/>
    <x v="3"/>
    <x v="2"/>
    <x v="0"/>
    <x v="13"/>
    <x v="3"/>
    <x v="8"/>
    <x v="0"/>
  </r>
  <r>
    <x v="1533"/>
    <x v="11"/>
    <x v="1"/>
    <n v="29.5"/>
    <n v="59"/>
    <x v="56"/>
    <d v="2025-02-27T00:00:00"/>
    <s v="F"/>
    <x v="0"/>
    <x v="2"/>
    <x v="0"/>
    <x v="13"/>
    <x v="3"/>
    <x v="8"/>
    <x v="2"/>
  </r>
  <r>
    <x v="1534"/>
    <x v="6"/>
    <x v="12"/>
    <n v="41.9"/>
    <n v="167.6"/>
    <x v="56"/>
    <d v="2025-03-02T00:00:00"/>
    <s v="F"/>
    <x v="0"/>
    <x v="1"/>
    <x v="0"/>
    <x v="21"/>
    <x v="5"/>
    <x v="8"/>
    <x v="2"/>
  </r>
  <r>
    <x v="1535"/>
    <x v="6"/>
    <x v="2"/>
    <n v="107.8"/>
    <n v="323.39999999999998"/>
    <x v="56"/>
    <d v="2025-02-27T00:00:00"/>
    <s v="M"/>
    <x v="1"/>
    <x v="2"/>
    <x v="0"/>
    <x v="46"/>
    <x v="3"/>
    <x v="8"/>
    <x v="1"/>
  </r>
  <r>
    <x v="1536"/>
    <x v="4"/>
    <x v="9"/>
    <n v="18.100000000000001"/>
    <n v="90.5"/>
    <x v="56"/>
    <d v="2025-03-01T00:00:00"/>
    <s v="M"/>
    <x v="0"/>
    <x v="2"/>
    <x v="0"/>
    <x v="2"/>
    <x v="2"/>
    <x v="8"/>
    <x v="1"/>
  </r>
  <r>
    <x v="1537"/>
    <x v="12"/>
    <x v="11"/>
    <n v="79.8"/>
    <n v="718.19999999999993"/>
    <x v="56"/>
    <d v="2025-02-27T00:00:00"/>
    <s v="F"/>
    <x v="1"/>
    <x v="1"/>
    <x v="0"/>
    <x v="22"/>
    <x v="3"/>
    <x v="8"/>
    <x v="2"/>
  </r>
  <r>
    <x v="1538"/>
    <x v="0"/>
    <x v="2"/>
    <n v="22.3"/>
    <n v="66.900000000000006"/>
    <x v="56"/>
    <d v="2025-03-01T00:00:00"/>
    <s v="F"/>
    <x v="0"/>
    <x v="2"/>
    <x v="0"/>
    <x v="22"/>
    <x v="2"/>
    <x v="8"/>
    <x v="2"/>
  </r>
  <r>
    <x v="1539"/>
    <x v="8"/>
    <x v="0"/>
    <n v="22.9"/>
    <n v="22.9"/>
    <x v="56"/>
    <d v="2025-02-26T00:00:00"/>
    <s v="F"/>
    <x v="1"/>
    <x v="0"/>
    <x v="0"/>
    <x v="22"/>
    <x v="7"/>
    <x v="8"/>
    <x v="2"/>
  </r>
  <r>
    <x v="1540"/>
    <x v="0"/>
    <x v="2"/>
    <n v="16.2"/>
    <n v="48.599999999999994"/>
    <x v="57"/>
    <d v="2025-02-27T00:00:00"/>
    <s v="M"/>
    <x v="4"/>
    <x v="2"/>
    <x v="0"/>
    <x v="3"/>
    <x v="7"/>
    <x v="8"/>
    <x v="1"/>
  </r>
  <r>
    <x v="1541"/>
    <x v="10"/>
    <x v="12"/>
    <n v="59.5"/>
    <n v="238"/>
    <x v="57"/>
    <d v="2025-02-28T00:00:00"/>
    <s v="M"/>
    <x v="1"/>
    <x v="2"/>
    <x v="0"/>
    <x v="3"/>
    <x v="3"/>
    <x v="8"/>
    <x v="1"/>
  </r>
  <r>
    <x v="1542"/>
    <x v="18"/>
    <x v="9"/>
    <n v="26.2"/>
    <n v="131"/>
    <x v="57"/>
    <d v="2025-03-02T00:00:00"/>
    <s v="M"/>
    <x v="3"/>
    <x v="4"/>
    <x v="0"/>
    <x v="3"/>
    <x v="2"/>
    <x v="8"/>
    <x v="1"/>
  </r>
  <r>
    <x v="1543"/>
    <x v="3"/>
    <x v="0"/>
    <n v="44.2"/>
    <n v="44.2"/>
    <x v="57"/>
    <d v="2025-03-02T00:00:00"/>
    <s v="F"/>
    <x v="1"/>
    <x v="0"/>
    <x v="0"/>
    <x v="3"/>
    <x v="2"/>
    <x v="8"/>
    <x v="2"/>
  </r>
  <r>
    <x v="1544"/>
    <x v="9"/>
    <x v="1"/>
    <n v="59.2"/>
    <n v="118.4"/>
    <x v="57"/>
    <d v="2025-02-27T00:00:00"/>
    <s v="F"/>
    <x v="1"/>
    <x v="4"/>
    <x v="0"/>
    <x v="3"/>
    <x v="7"/>
    <x v="8"/>
    <x v="2"/>
  </r>
  <r>
    <x v="1545"/>
    <x v="15"/>
    <x v="12"/>
    <n v="41.5"/>
    <n v="166"/>
    <x v="57"/>
    <d v="2025-03-01T00:00:00"/>
    <s v="F"/>
    <x v="0"/>
    <x v="0"/>
    <x v="0"/>
    <x v="16"/>
    <x v="1"/>
    <x v="8"/>
    <x v="2"/>
  </r>
  <r>
    <x v="1546"/>
    <x v="6"/>
    <x v="4"/>
    <n v="67.099999999999994"/>
    <n v="805.19999999999993"/>
    <x v="57"/>
    <d v="2025-03-13T00:00:00"/>
    <s v="F"/>
    <x v="0"/>
    <x v="2"/>
    <x v="0"/>
    <x v="23"/>
    <x v="12"/>
    <x v="8"/>
    <x v="2"/>
  </r>
  <r>
    <x v="1547"/>
    <x v="8"/>
    <x v="1"/>
    <n v="28.7"/>
    <n v="57.4"/>
    <x v="57"/>
    <d v="2025-03-03T00:00:00"/>
    <s v="F"/>
    <x v="1"/>
    <x v="0"/>
    <x v="0"/>
    <x v="6"/>
    <x v="5"/>
    <x v="8"/>
    <x v="2"/>
  </r>
  <r>
    <x v="1548"/>
    <x v="2"/>
    <x v="12"/>
    <n v="132.1"/>
    <n v="528.4"/>
    <x v="57"/>
    <d v="2025-02-28T00:00:00"/>
    <s v="F"/>
    <x v="0"/>
    <x v="1"/>
    <x v="0"/>
    <x v="6"/>
    <x v="3"/>
    <x v="8"/>
    <x v="2"/>
  </r>
  <r>
    <x v="1549"/>
    <x v="18"/>
    <x v="1"/>
    <n v="47"/>
    <n v="94"/>
    <x v="57"/>
    <d v="2025-03-01T00:00:00"/>
    <s v="M"/>
    <x v="4"/>
    <x v="0"/>
    <x v="0"/>
    <x v="8"/>
    <x v="1"/>
    <x v="8"/>
    <x v="1"/>
  </r>
  <r>
    <x v="1550"/>
    <x v="8"/>
    <x v="1"/>
    <n v="41.6"/>
    <n v="83.2"/>
    <x v="57"/>
    <d v="2025-03-03T00:00:00"/>
    <s v="M"/>
    <x v="1"/>
    <x v="2"/>
    <x v="0"/>
    <x v="8"/>
    <x v="5"/>
    <x v="8"/>
    <x v="1"/>
  </r>
  <r>
    <x v="1551"/>
    <x v="8"/>
    <x v="43"/>
    <n v="17.3"/>
    <n v="657.4"/>
    <x v="57"/>
    <d v="2025-03-01T00:00:00"/>
    <s v="M"/>
    <x v="2"/>
    <x v="2"/>
    <x v="0"/>
    <x v="8"/>
    <x v="1"/>
    <x v="8"/>
    <x v="1"/>
  </r>
  <r>
    <x v="1552"/>
    <x v="13"/>
    <x v="2"/>
    <n v="41.8"/>
    <n v="125.39999999999999"/>
    <x v="57"/>
    <d v="2025-03-02T00:00:00"/>
    <s v="M"/>
    <x v="0"/>
    <x v="2"/>
    <x v="0"/>
    <x v="8"/>
    <x v="2"/>
    <x v="8"/>
    <x v="1"/>
  </r>
  <r>
    <x v="1553"/>
    <x v="10"/>
    <x v="0"/>
    <n v="24"/>
    <n v="24"/>
    <x v="57"/>
    <d v="2025-02-28T00:00:00"/>
    <s v="F"/>
    <x v="0"/>
    <x v="0"/>
    <x v="0"/>
    <x v="17"/>
    <x v="3"/>
    <x v="8"/>
    <x v="2"/>
  </r>
  <r>
    <x v="1554"/>
    <x v="14"/>
    <x v="11"/>
    <n v="18.5"/>
    <n v="166.5"/>
    <x v="57"/>
    <d v="2025-03-01T00:00:00"/>
    <s v="F"/>
    <x v="0"/>
    <x v="0"/>
    <x v="0"/>
    <x v="9"/>
    <x v="1"/>
    <x v="8"/>
    <x v="2"/>
  </r>
  <r>
    <x v="1555"/>
    <x v="3"/>
    <x v="4"/>
    <n v="66.7"/>
    <n v="800.40000000000009"/>
    <x v="57"/>
    <d v="2025-03-02T00:00:00"/>
    <s v=""/>
    <x v="0"/>
    <x v="2"/>
    <x v="0"/>
    <x v="11"/>
    <x v="2"/>
    <x v="8"/>
    <x v="0"/>
  </r>
  <r>
    <x v="1556"/>
    <x v="1"/>
    <x v="12"/>
    <n v="33.1"/>
    <n v="132.4"/>
    <x v="57"/>
    <d v="2025-03-04T00:00:00"/>
    <s v="M"/>
    <x v="3"/>
    <x v="0"/>
    <x v="0"/>
    <x v="11"/>
    <x v="0"/>
    <x v="8"/>
    <x v="1"/>
  </r>
  <r>
    <x v="1557"/>
    <x v="19"/>
    <x v="11"/>
    <n v="42.1"/>
    <n v="378.90000000000003"/>
    <x v="57"/>
    <d v="2025-03-10T00:00:00"/>
    <s v="M"/>
    <x v="1"/>
    <x v="0"/>
    <x v="0"/>
    <x v="18"/>
    <x v="11"/>
    <x v="8"/>
    <x v="1"/>
  </r>
  <r>
    <x v="1558"/>
    <x v="18"/>
    <x v="3"/>
    <n v="58.7"/>
    <n v="410.90000000000003"/>
    <x v="57"/>
    <d v="2025-02-27T00:00:00"/>
    <s v="O"/>
    <x v="3"/>
    <x v="0"/>
    <x v="0"/>
    <x v="31"/>
    <x v="7"/>
    <x v="8"/>
    <x v="3"/>
  </r>
  <r>
    <x v="1559"/>
    <x v="6"/>
    <x v="12"/>
    <n v="54"/>
    <n v="216"/>
    <x v="57"/>
    <d v="2025-03-01T00:00:00"/>
    <s v="F"/>
    <x v="1"/>
    <x v="0"/>
    <x v="0"/>
    <x v="1"/>
    <x v="1"/>
    <x v="8"/>
    <x v="2"/>
  </r>
  <r>
    <x v="1560"/>
    <x v="8"/>
    <x v="0"/>
    <n v="52.1"/>
    <n v="52.1"/>
    <x v="57"/>
    <d v="2025-02-28T00:00:00"/>
    <s v="F"/>
    <x v="2"/>
    <x v="2"/>
    <x v="0"/>
    <x v="2"/>
    <x v="3"/>
    <x v="8"/>
    <x v="2"/>
  </r>
  <r>
    <x v="1561"/>
    <x v="19"/>
    <x v="1"/>
    <n v="27"/>
    <n v="54"/>
    <x v="57"/>
    <d v="2025-03-02T00:00:00"/>
    <s v="O"/>
    <x v="2"/>
    <x v="0"/>
    <x v="0"/>
    <x v="22"/>
    <x v="2"/>
    <x v="8"/>
    <x v="3"/>
  </r>
  <r>
    <x v="1562"/>
    <x v="12"/>
    <x v="7"/>
    <n v="31"/>
    <n v="310"/>
    <x v="58"/>
    <d v="2025-03-01T00:00:00"/>
    <s v="F"/>
    <x v="3"/>
    <x v="2"/>
    <x v="0"/>
    <x v="22"/>
    <x v="3"/>
    <x v="8"/>
    <x v="2"/>
  </r>
  <r>
    <x v="1563"/>
    <x v="10"/>
    <x v="1"/>
    <n v="46.7"/>
    <n v="93.4"/>
    <x v="58"/>
    <d v="2025-02-28T00:00:00"/>
    <s v="F"/>
    <x v="0"/>
    <x v="0"/>
    <x v="0"/>
    <x v="34"/>
    <x v="7"/>
    <x v="8"/>
    <x v="2"/>
  </r>
  <r>
    <x v="1564"/>
    <x v="6"/>
    <x v="0"/>
    <n v="144.69999999999999"/>
    <n v="144.69999999999999"/>
    <x v="58"/>
    <d v="2025-03-03T00:00:00"/>
    <s v="M"/>
    <x v="0"/>
    <x v="2"/>
    <x v="0"/>
    <x v="3"/>
    <x v="2"/>
    <x v="8"/>
    <x v="1"/>
  </r>
  <r>
    <x v="1565"/>
    <x v="2"/>
    <x v="11"/>
    <n v="90.9"/>
    <n v="818.1"/>
    <x v="58"/>
    <d v="2025-03-01T00:00:00"/>
    <s v="M"/>
    <x v="0"/>
    <x v="2"/>
    <x v="0"/>
    <x v="3"/>
    <x v="3"/>
    <x v="8"/>
    <x v="1"/>
  </r>
  <r>
    <x v="1566"/>
    <x v="1"/>
    <x v="1"/>
    <n v="75.8"/>
    <n v="151.6"/>
    <x v="58"/>
    <d v="2025-03-01T00:00:00"/>
    <s v="F"/>
    <x v="2"/>
    <x v="1"/>
    <x v="0"/>
    <x v="3"/>
    <x v="3"/>
    <x v="8"/>
    <x v="2"/>
  </r>
  <r>
    <x v="1567"/>
    <x v="7"/>
    <x v="9"/>
    <n v="57.9"/>
    <n v="289.5"/>
    <x v="58"/>
    <d v="2025-03-02T00:00:00"/>
    <s v="M"/>
    <x v="2"/>
    <x v="2"/>
    <x v="0"/>
    <x v="3"/>
    <x v="1"/>
    <x v="8"/>
    <x v="1"/>
  </r>
  <r>
    <x v="1568"/>
    <x v="8"/>
    <x v="9"/>
    <n v="44.8"/>
    <n v="224"/>
    <x v="58"/>
    <d v="2025-03-01T00:00:00"/>
    <s v="F"/>
    <x v="3"/>
    <x v="2"/>
    <x v="0"/>
    <x v="3"/>
    <x v="3"/>
    <x v="8"/>
    <x v="2"/>
  </r>
  <r>
    <x v="1569"/>
    <x v="9"/>
    <x v="2"/>
    <n v="44.2"/>
    <n v="132.60000000000002"/>
    <x v="58"/>
    <d v="2025-03-04T00:00:00"/>
    <s v="M"/>
    <x v="2"/>
    <x v="2"/>
    <x v="0"/>
    <x v="3"/>
    <x v="5"/>
    <x v="8"/>
    <x v="1"/>
  </r>
  <r>
    <x v="1570"/>
    <x v="5"/>
    <x v="9"/>
    <n v="53.5"/>
    <n v="267.5"/>
    <x v="58"/>
    <d v="2025-03-02T00:00:00"/>
    <s v="M"/>
    <x v="0"/>
    <x v="0"/>
    <x v="0"/>
    <x v="37"/>
    <x v="1"/>
    <x v="8"/>
    <x v="1"/>
  </r>
  <r>
    <x v="1571"/>
    <x v="6"/>
    <x v="1"/>
    <n v="72.2"/>
    <n v="144.4"/>
    <x v="58"/>
    <d v="2025-03-01T00:00:00"/>
    <s v="M"/>
    <x v="0"/>
    <x v="2"/>
    <x v="0"/>
    <x v="25"/>
    <x v="3"/>
    <x v="8"/>
    <x v="1"/>
  </r>
  <r>
    <x v="1572"/>
    <x v="6"/>
    <x v="12"/>
    <n v="62.4"/>
    <n v="249.6"/>
    <x v="58"/>
    <d v="2025-03-03T00:00:00"/>
    <s v="F"/>
    <x v="0"/>
    <x v="1"/>
    <x v="0"/>
    <x v="23"/>
    <x v="2"/>
    <x v="8"/>
    <x v="2"/>
  </r>
  <r>
    <x v="1573"/>
    <x v="10"/>
    <x v="9"/>
    <n v="24.7"/>
    <n v="123.5"/>
    <x v="58"/>
    <d v="2025-03-01T00:00:00"/>
    <s v="F"/>
    <x v="0"/>
    <x v="0"/>
    <x v="0"/>
    <x v="6"/>
    <x v="3"/>
    <x v="8"/>
    <x v="2"/>
  </r>
  <r>
    <x v="1574"/>
    <x v="1"/>
    <x v="9"/>
    <n v="61.7"/>
    <n v="308.5"/>
    <x v="58"/>
    <d v="2025-03-02T00:00:00"/>
    <s v="F"/>
    <x v="2"/>
    <x v="0"/>
    <x v="0"/>
    <x v="8"/>
    <x v="1"/>
    <x v="8"/>
    <x v="2"/>
  </r>
  <r>
    <x v="1575"/>
    <x v="8"/>
    <x v="9"/>
    <n v="18.2"/>
    <n v="91"/>
    <x v="58"/>
    <d v="2025-03-02T00:00:00"/>
    <s v="F"/>
    <x v="3"/>
    <x v="0"/>
    <x v="0"/>
    <x v="8"/>
    <x v="1"/>
    <x v="8"/>
    <x v="2"/>
  </r>
  <r>
    <x v="1576"/>
    <x v="10"/>
    <x v="12"/>
    <n v="37.200000000000003"/>
    <n v="148.80000000000001"/>
    <x v="58"/>
    <d v="2025-03-06T00:00:00"/>
    <s v="F"/>
    <x v="0"/>
    <x v="0"/>
    <x v="0"/>
    <x v="8"/>
    <x v="4"/>
    <x v="8"/>
    <x v="2"/>
  </r>
  <r>
    <x v="1577"/>
    <x v="9"/>
    <x v="2"/>
    <n v="53.5"/>
    <n v="160.5"/>
    <x v="58"/>
    <d v="2025-03-02T00:00:00"/>
    <s v="F"/>
    <x v="1"/>
    <x v="2"/>
    <x v="0"/>
    <x v="9"/>
    <x v="1"/>
    <x v="8"/>
    <x v="2"/>
  </r>
  <r>
    <x v="1578"/>
    <x v="8"/>
    <x v="2"/>
    <n v="43.6"/>
    <n v="130.80000000000001"/>
    <x v="58"/>
    <d v="2025-02-28T00:00:00"/>
    <s v="F"/>
    <x v="0"/>
    <x v="0"/>
    <x v="0"/>
    <x v="9"/>
    <x v="7"/>
    <x v="8"/>
    <x v="2"/>
  </r>
  <r>
    <x v="1579"/>
    <x v="1"/>
    <x v="7"/>
    <n v="135"/>
    <n v="1350"/>
    <x v="58"/>
    <d v="2025-03-02T00:00:00"/>
    <s v="F"/>
    <x v="0"/>
    <x v="2"/>
    <x v="0"/>
    <x v="9"/>
    <x v="1"/>
    <x v="8"/>
    <x v="2"/>
  </r>
  <r>
    <x v="1580"/>
    <x v="8"/>
    <x v="9"/>
    <n v="38.5"/>
    <n v="192.5"/>
    <x v="58"/>
    <d v="2025-02-28T00:00:00"/>
    <s v="M"/>
    <x v="4"/>
    <x v="2"/>
    <x v="0"/>
    <x v="10"/>
    <x v="7"/>
    <x v="8"/>
    <x v="1"/>
  </r>
  <r>
    <x v="1581"/>
    <x v="9"/>
    <x v="1"/>
    <n v="24"/>
    <n v="48"/>
    <x v="58"/>
    <d v="2025-03-05T00:00:00"/>
    <s v="F"/>
    <x v="0"/>
    <x v="0"/>
    <x v="0"/>
    <x v="11"/>
    <x v="0"/>
    <x v="8"/>
    <x v="2"/>
  </r>
  <r>
    <x v="1582"/>
    <x v="4"/>
    <x v="2"/>
    <n v="28.2"/>
    <n v="84.6"/>
    <x v="58"/>
    <d v="2025-03-02T00:00:00"/>
    <s v="M"/>
    <x v="0"/>
    <x v="3"/>
    <x v="0"/>
    <x v="18"/>
    <x v="1"/>
    <x v="8"/>
    <x v="1"/>
  </r>
  <r>
    <x v="1583"/>
    <x v="7"/>
    <x v="2"/>
    <n v="37.4"/>
    <n v="112.19999999999999"/>
    <x v="58"/>
    <d v="2025-03-01T00:00:00"/>
    <s v="F"/>
    <x v="3"/>
    <x v="0"/>
    <x v="0"/>
    <x v="1"/>
    <x v="3"/>
    <x v="8"/>
    <x v="2"/>
  </r>
  <r>
    <x v="1584"/>
    <x v="6"/>
    <x v="2"/>
    <n v="53.5"/>
    <n v="160.5"/>
    <x v="58"/>
    <d v="2025-03-03T00:00:00"/>
    <s v=""/>
    <x v="4"/>
    <x v="4"/>
    <x v="0"/>
    <x v="1"/>
    <x v="2"/>
    <x v="8"/>
    <x v="0"/>
  </r>
  <r>
    <x v="1585"/>
    <x v="11"/>
    <x v="9"/>
    <n v="36.200000000000003"/>
    <n v="181"/>
    <x v="58"/>
    <d v="2025-03-01T00:00:00"/>
    <s v="M"/>
    <x v="1"/>
    <x v="2"/>
    <x v="0"/>
    <x v="33"/>
    <x v="3"/>
    <x v="8"/>
    <x v="1"/>
  </r>
  <r>
    <x v="1586"/>
    <x v="0"/>
    <x v="8"/>
    <n v="31.9"/>
    <n v="255.2"/>
    <x v="58"/>
    <d v="2025-03-01T00:00:00"/>
    <s v="F"/>
    <x v="4"/>
    <x v="0"/>
    <x v="0"/>
    <x v="3"/>
    <x v="3"/>
    <x v="8"/>
    <x v="2"/>
  </r>
  <r>
    <x v="1587"/>
    <x v="8"/>
    <x v="2"/>
    <n v="21.3"/>
    <n v="63.900000000000006"/>
    <x v="58"/>
    <d v="2025-03-01T00:00:00"/>
    <s v="M"/>
    <x v="0"/>
    <x v="2"/>
    <x v="0"/>
    <x v="3"/>
    <x v="3"/>
    <x v="8"/>
    <x v="1"/>
  </r>
  <r>
    <x v="1588"/>
    <x v="8"/>
    <x v="0"/>
    <n v="36.299999999999997"/>
    <n v="36.299999999999997"/>
    <x v="58"/>
    <d v="2025-03-02T00:00:00"/>
    <s v="O"/>
    <x v="4"/>
    <x v="0"/>
    <x v="0"/>
    <x v="3"/>
    <x v="1"/>
    <x v="8"/>
    <x v="3"/>
  </r>
  <r>
    <x v="1589"/>
    <x v="6"/>
    <x v="2"/>
    <n v="110.5"/>
    <n v="331.5"/>
    <x v="58"/>
    <d v="2025-03-01T00:00:00"/>
    <s v="F"/>
    <x v="0"/>
    <x v="3"/>
    <x v="0"/>
    <x v="3"/>
    <x v="3"/>
    <x v="8"/>
    <x v="2"/>
  </r>
  <r>
    <x v="1590"/>
    <x v="10"/>
    <x v="3"/>
    <n v="32.6"/>
    <n v="228.20000000000002"/>
    <x v="58"/>
    <d v="2025-03-02T00:00:00"/>
    <s v="F"/>
    <x v="0"/>
    <x v="1"/>
    <x v="0"/>
    <x v="3"/>
    <x v="1"/>
    <x v="8"/>
    <x v="2"/>
  </r>
  <r>
    <x v="1591"/>
    <x v="5"/>
    <x v="2"/>
    <n v="55.6"/>
    <n v="166.8"/>
    <x v="59"/>
    <d v="2025-03-14T00:00:00"/>
    <s v="F"/>
    <x v="0"/>
    <x v="0"/>
    <x v="0"/>
    <x v="3"/>
    <x v="10"/>
    <x v="8"/>
    <x v="2"/>
  </r>
  <r>
    <x v="1592"/>
    <x v="1"/>
    <x v="12"/>
    <n v="38"/>
    <n v="152"/>
    <x v="59"/>
    <d v="2025-03-02T00:00:00"/>
    <s v="F"/>
    <x v="3"/>
    <x v="2"/>
    <x v="0"/>
    <x v="5"/>
    <x v="3"/>
    <x v="8"/>
    <x v="2"/>
  </r>
  <r>
    <x v="1593"/>
    <x v="10"/>
    <x v="1"/>
    <n v="51.8"/>
    <n v="103.6"/>
    <x v="59"/>
    <d v="2025-03-07T00:00:00"/>
    <s v="M"/>
    <x v="1"/>
    <x v="4"/>
    <x v="0"/>
    <x v="6"/>
    <x v="4"/>
    <x v="8"/>
    <x v="1"/>
  </r>
  <r>
    <x v="1594"/>
    <x v="11"/>
    <x v="8"/>
    <n v="28.7"/>
    <n v="229.6"/>
    <x v="59"/>
    <d v="2025-03-06T00:00:00"/>
    <s v="F"/>
    <x v="0"/>
    <x v="0"/>
    <x v="0"/>
    <x v="6"/>
    <x v="0"/>
    <x v="8"/>
    <x v="2"/>
  </r>
  <r>
    <x v="1595"/>
    <x v="6"/>
    <x v="4"/>
    <n v="52.2"/>
    <n v="626.40000000000009"/>
    <x v="59"/>
    <d v="2025-03-01T00:00:00"/>
    <s v="M"/>
    <x v="0"/>
    <x v="1"/>
    <x v="0"/>
    <x v="6"/>
    <x v="7"/>
    <x v="8"/>
    <x v="1"/>
  </r>
  <r>
    <x v="1596"/>
    <x v="1"/>
    <x v="1"/>
    <n v="68.2"/>
    <n v="136.4"/>
    <x v="59"/>
    <d v="2025-03-02T00:00:00"/>
    <s v=""/>
    <x v="2"/>
    <x v="0"/>
    <x v="0"/>
    <x v="7"/>
    <x v="3"/>
    <x v="8"/>
    <x v="0"/>
  </r>
  <r>
    <x v="1597"/>
    <x v="0"/>
    <x v="2"/>
    <n v="34"/>
    <n v="102"/>
    <x v="59"/>
    <d v="2025-03-05T00:00:00"/>
    <s v="F"/>
    <x v="0"/>
    <x v="0"/>
    <x v="0"/>
    <x v="8"/>
    <x v="5"/>
    <x v="8"/>
    <x v="2"/>
  </r>
  <r>
    <x v="1598"/>
    <x v="8"/>
    <x v="2"/>
    <n v="19.100000000000001"/>
    <n v="57.300000000000004"/>
    <x v="59"/>
    <d v="2025-03-02T00:00:00"/>
    <s v="F"/>
    <x v="4"/>
    <x v="0"/>
    <x v="0"/>
    <x v="8"/>
    <x v="3"/>
    <x v="8"/>
    <x v="2"/>
  </r>
  <r>
    <x v="1599"/>
    <x v="5"/>
    <x v="8"/>
    <n v="34"/>
    <n v="272"/>
    <x v="59"/>
    <d v="2025-03-09T00:00:00"/>
    <s v="F"/>
    <x v="4"/>
    <x v="0"/>
    <x v="0"/>
    <x v="8"/>
    <x v="9"/>
    <x v="8"/>
    <x v="2"/>
  </r>
  <r>
    <x v="1600"/>
    <x v="12"/>
    <x v="1"/>
    <n v="109.1"/>
    <n v="218.2"/>
    <x v="59"/>
    <d v="2025-03-03T00:00:00"/>
    <s v="M"/>
    <x v="0"/>
    <x v="2"/>
    <x v="0"/>
    <x v="8"/>
    <x v="1"/>
    <x v="8"/>
    <x v="1"/>
  </r>
  <r>
    <x v="1601"/>
    <x v="18"/>
    <x v="1"/>
    <n v="64.8"/>
    <n v="129.6"/>
    <x v="59"/>
    <d v="2025-03-03T00:00:00"/>
    <s v="M"/>
    <x v="0"/>
    <x v="2"/>
    <x v="0"/>
    <x v="8"/>
    <x v="1"/>
    <x v="8"/>
    <x v="1"/>
  </r>
  <r>
    <x v="1602"/>
    <x v="10"/>
    <x v="1"/>
    <n v="21.1"/>
    <n v="42.2"/>
    <x v="59"/>
    <d v="2025-03-01T00:00:00"/>
    <s v="F"/>
    <x v="1"/>
    <x v="0"/>
    <x v="0"/>
    <x v="11"/>
    <x v="7"/>
    <x v="8"/>
    <x v="2"/>
  </r>
  <r>
    <x v="1603"/>
    <x v="0"/>
    <x v="8"/>
    <n v="21.3"/>
    <n v="170.4"/>
    <x v="59"/>
    <d v="2025-03-03T00:00:00"/>
    <s v="M"/>
    <x v="3"/>
    <x v="1"/>
    <x v="0"/>
    <x v="18"/>
    <x v="1"/>
    <x v="8"/>
    <x v="1"/>
  </r>
  <r>
    <x v="1604"/>
    <x v="9"/>
    <x v="2"/>
    <n v="24.3"/>
    <n v="72.900000000000006"/>
    <x v="59"/>
    <d v="2025-03-02T00:00:00"/>
    <s v="M"/>
    <x v="1"/>
    <x v="0"/>
    <x v="0"/>
    <x v="19"/>
    <x v="3"/>
    <x v="8"/>
    <x v="1"/>
  </r>
  <r>
    <x v="1605"/>
    <x v="8"/>
    <x v="0"/>
    <n v="43.3"/>
    <n v="43.3"/>
    <x v="59"/>
    <d v="2025-03-05T00:00:00"/>
    <s v="M"/>
    <x v="1"/>
    <x v="1"/>
    <x v="0"/>
    <x v="13"/>
    <x v="5"/>
    <x v="8"/>
    <x v="1"/>
  </r>
  <r>
    <x v="1606"/>
    <x v="9"/>
    <x v="2"/>
    <n v="41"/>
    <n v="123"/>
    <x v="59"/>
    <d v="2025-03-02T00:00:00"/>
    <s v="F"/>
    <x v="3"/>
    <x v="4"/>
    <x v="0"/>
    <x v="21"/>
    <x v="3"/>
    <x v="8"/>
    <x v="2"/>
  </r>
  <r>
    <x v="1607"/>
    <x v="16"/>
    <x v="2"/>
    <n v="54.1"/>
    <n v="162.30000000000001"/>
    <x v="59"/>
    <d v="2025-03-03T00:00:00"/>
    <s v="F"/>
    <x v="4"/>
    <x v="0"/>
    <x v="0"/>
    <x v="21"/>
    <x v="1"/>
    <x v="8"/>
    <x v="2"/>
  </r>
  <r>
    <x v="1608"/>
    <x v="11"/>
    <x v="1"/>
    <n v="39"/>
    <n v="78"/>
    <x v="59"/>
    <d v="2025-03-02T00:00:00"/>
    <s v="M"/>
    <x v="1"/>
    <x v="2"/>
    <x v="0"/>
    <x v="1"/>
    <x v="3"/>
    <x v="8"/>
    <x v="1"/>
  </r>
  <r>
    <x v="1609"/>
    <x v="8"/>
    <x v="1"/>
    <n v="40.299999999999997"/>
    <n v="80.599999999999994"/>
    <x v="59"/>
    <d v="2025-03-03T00:00:00"/>
    <s v="M"/>
    <x v="3"/>
    <x v="0"/>
    <x v="0"/>
    <x v="27"/>
    <x v="1"/>
    <x v="8"/>
    <x v="1"/>
  </r>
  <r>
    <x v="1610"/>
    <x v="8"/>
    <x v="2"/>
    <n v="24.1"/>
    <n v="72.300000000000011"/>
    <x v="59"/>
    <d v="2025-03-02T00:00:00"/>
    <s v="M"/>
    <x v="0"/>
    <x v="2"/>
    <x v="0"/>
    <x v="34"/>
    <x v="3"/>
    <x v="8"/>
    <x v="1"/>
  </r>
  <r>
    <x v="1611"/>
    <x v="6"/>
    <x v="9"/>
    <n v="52.3"/>
    <n v="261.5"/>
    <x v="59"/>
    <d v="2025-03-02T00:00:00"/>
    <s v="M"/>
    <x v="2"/>
    <x v="0"/>
    <x v="0"/>
    <x v="3"/>
    <x v="3"/>
    <x v="8"/>
    <x v="1"/>
  </r>
  <r>
    <x v="1612"/>
    <x v="12"/>
    <x v="12"/>
    <n v="68.8"/>
    <n v="275.2"/>
    <x v="59"/>
    <d v="2025-03-05T00:00:00"/>
    <s v="F"/>
    <x v="4"/>
    <x v="2"/>
    <x v="0"/>
    <x v="3"/>
    <x v="5"/>
    <x v="8"/>
    <x v="2"/>
  </r>
  <r>
    <x v="1613"/>
    <x v="2"/>
    <x v="1"/>
    <n v="128.80000000000001"/>
    <n v="257.60000000000002"/>
    <x v="60"/>
    <d v="2025-03-05T00:00:00"/>
    <s v="F"/>
    <x v="1"/>
    <x v="1"/>
    <x v="0"/>
    <x v="3"/>
    <x v="2"/>
    <x v="9"/>
    <x v="2"/>
  </r>
  <r>
    <x v="1614"/>
    <x v="15"/>
    <x v="9"/>
    <n v="48.2"/>
    <n v="241"/>
    <x v="60"/>
    <d v="2025-03-04T00:00:00"/>
    <s v="F"/>
    <x v="3"/>
    <x v="0"/>
    <x v="0"/>
    <x v="3"/>
    <x v="1"/>
    <x v="9"/>
    <x v="2"/>
  </r>
  <r>
    <x v="1615"/>
    <x v="10"/>
    <x v="0"/>
    <n v="39.700000000000003"/>
    <n v="39.700000000000003"/>
    <x v="60"/>
    <d v="2025-03-04T00:00:00"/>
    <s v="F"/>
    <x v="0"/>
    <x v="1"/>
    <x v="0"/>
    <x v="3"/>
    <x v="1"/>
    <x v="9"/>
    <x v="2"/>
  </r>
  <r>
    <x v="1616"/>
    <x v="9"/>
    <x v="0"/>
    <n v="59.7"/>
    <n v="59.7"/>
    <x v="60"/>
    <d v="2025-03-05T00:00:00"/>
    <s v="F"/>
    <x v="4"/>
    <x v="0"/>
    <x v="0"/>
    <x v="3"/>
    <x v="2"/>
    <x v="9"/>
    <x v="2"/>
  </r>
  <r>
    <x v="1617"/>
    <x v="6"/>
    <x v="0"/>
    <n v="48.3"/>
    <n v="48.3"/>
    <x v="60"/>
    <d v="2025-03-16T00:00:00"/>
    <s v="O"/>
    <x v="0"/>
    <x v="2"/>
    <x v="0"/>
    <x v="3"/>
    <x v="12"/>
    <x v="9"/>
    <x v="3"/>
  </r>
  <r>
    <x v="1618"/>
    <x v="8"/>
    <x v="2"/>
    <n v="45.5"/>
    <n v="136.5"/>
    <x v="60"/>
    <d v="2025-03-04T00:00:00"/>
    <s v="M"/>
    <x v="2"/>
    <x v="1"/>
    <x v="0"/>
    <x v="3"/>
    <x v="1"/>
    <x v="9"/>
    <x v="1"/>
  </r>
  <r>
    <x v="1619"/>
    <x v="9"/>
    <x v="6"/>
    <n v="51"/>
    <n v="1377"/>
    <x v="60"/>
    <d v="2025-03-02T00:00:00"/>
    <s v="F"/>
    <x v="2"/>
    <x v="0"/>
    <x v="0"/>
    <x v="3"/>
    <x v="7"/>
    <x v="9"/>
    <x v="2"/>
  </r>
  <r>
    <x v="1620"/>
    <x v="4"/>
    <x v="13"/>
    <n v="20.399999999999999"/>
    <n v="122.39999999999999"/>
    <x v="60"/>
    <d v="2025-03-03T00:00:00"/>
    <s v="M"/>
    <x v="2"/>
    <x v="0"/>
    <x v="0"/>
    <x v="3"/>
    <x v="3"/>
    <x v="9"/>
    <x v="1"/>
  </r>
  <r>
    <x v="1621"/>
    <x v="10"/>
    <x v="1"/>
    <n v="30.4"/>
    <n v="60.8"/>
    <x v="60"/>
    <d v="2025-03-04T00:00:00"/>
    <s v="M"/>
    <x v="2"/>
    <x v="0"/>
    <x v="0"/>
    <x v="3"/>
    <x v="1"/>
    <x v="9"/>
    <x v="1"/>
  </r>
  <r>
    <x v="1622"/>
    <x v="7"/>
    <x v="1"/>
    <n v="71.5"/>
    <n v="143"/>
    <x v="60"/>
    <d v="2025-03-06T00:00:00"/>
    <s v="F"/>
    <x v="0"/>
    <x v="0"/>
    <x v="0"/>
    <x v="3"/>
    <x v="5"/>
    <x v="9"/>
    <x v="2"/>
  </r>
  <r>
    <x v="1623"/>
    <x v="8"/>
    <x v="13"/>
    <n v="18"/>
    <n v="108"/>
    <x v="60"/>
    <d v="2025-03-03T00:00:00"/>
    <s v="O"/>
    <x v="1"/>
    <x v="2"/>
    <x v="0"/>
    <x v="6"/>
    <x v="3"/>
    <x v="9"/>
    <x v="3"/>
  </r>
  <r>
    <x v="1624"/>
    <x v="15"/>
    <x v="5"/>
    <n v="45.6"/>
    <n v="501.6"/>
    <x v="60"/>
    <d v="2025-03-03T00:00:00"/>
    <s v="O"/>
    <x v="1"/>
    <x v="1"/>
    <x v="0"/>
    <x v="7"/>
    <x v="3"/>
    <x v="9"/>
    <x v="3"/>
  </r>
  <r>
    <x v="1625"/>
    <x v="9"/>
    <x v="0"/>
    <n v="31.8"/>
    <n v="31.8"/>
    <x v="60"/>
    <d v="2025-03-06T00:00:00"/>
    <s v="F"/>
    <x v="0"/>
    <x v="2"/>
    <x v="0"/>
    <x v="7"/>
    <x v="5"/>
    <x v="9"/>
    <x v="2"/>
  </r>
  <r>
    <x v="1626"/>
    <x v="8"/>
    <x v="9"/>
    <n v="19.899999999999999"/>
    <n v="99.5"/>
    <x v="60"/>
    <d v="2025-03-03T00:00:00"/>
    <s v="F"/>
    <x v="1"/>
    <x v="0"/>
    <x v="0"/>
    <x v="7"/>
    <x v="3"/>
    <x v="9"/>
    <x v="2"/>
  </r>
  <r>
    <x v="1627"/>
    <x v="12"/>
    <x v="11"/>
    <n v="52.1"/>
    <n v="468.90000000000003"/>
    <x v="60"/>
    <d v="2025-03-04T00:00:00"/>
    <s v="M"/>
    <x v="0"/>
    <x v="0"/>
    <x v="0"/>
    <x v="8"/>
    <x v="1"/>
    <x v="9"/>
    <x v="1"/>
  </r>
  <r>
    <x v="1628"/>
    <x v="1"/>
    <x v="3"/>
    <n v="45.9"/>
    <n v="321.3"/>
    <x v="60"/>
    <d v="2025-03-03T00:00:00"/>
    <s v="M"/>
    <x v="0"/>
    <x v="1"/>
    <x v="0"/>
    <x v="8"/>
    <x v="3"/>
    <x v="9"/>
    <x v="1"/>
  </r>
  <r>
    <x v="1629"/>
    <x v="1"/>
    <x v="7"/>
    <n v="115.9"/>
    <n v="1159"/>
    <x v="60"/>
    <d v="2025-03-05T00:00:00"/>
    <s v="F"/>
    <x v="1"/>
    <x v="0"/>
    <x v="0"/>
    <x v="8"/>
    <x v="2"/>
    <x v="9"/>
    <x v="2"/>
  </r>
  <r>
    <x v="1630"/>
    <x v="6"/>
    <x v="11"/>
    <n v="86"/>
    <n v="774"/>
    <x v="60"/>
    <d v="2025-03-07T00:00:00"/>
    <s v="F"/>
    <x v="0"/>
    <x v="1"/>
    <x v="0"/>
    <x v="8"/>
    <x v="0"/>
    <x v="9"/>
    <x v="2"/>
  </r>
  <r>
    <x v="1631"/>
    <x v="7"/>
    <x v="3"/>
    <n v="73.599999999999994"/>
    <n v="515.19999999999993"/>
    <x v="60"/>
    <d v="2025-03-04T00:00:00"/>
    <s v="F"/>
    <x v="0"/>
    <x v="0"/>
    <x v="0"/>
    <x v="17"/>
    <x v="1"/>
    <x v="9"/>
    <x v="2"/>
  </r>
  <r>
    <x v="1632"/>
    <x v="10"/>
    <x v="2"/>
    <n v="26.7"/>
    <n v="80.099999999999994"/>
    <x v="60"/>
    <d v="2025-03-06T00:00:00"/>
    <s v="F"/>
    <x v="0"/>
    <x v="0"/>
    <x v="0"/>
    <x v="11"/>
    <x v="5"/>
    <x v="9"/>
    <x v="2"/>
  </r>
  <r>
    <x v="1633"/>
    <x v="8"/>
    <x v="3"/>
    <n v="46.6"/>
    <n v="326.2"/>
    <x v="60"/>
    <d v="2025-03-04T00:00:00"/>
    <s v=""/>
    <x v="3"/>
    <x v="0"/>
    <x v="0"/>
    <x v="11"/>
    <x v="1"/>
    <x v="9"/>
    <x v="0"/>
  </r>
  <r>
    <x v="1634"/>
    <x v="3"/>
    <x v="2"/>
    <n v="84.6"/>
    <n v="253.79999999999998"/>
    <x v="60"/>
    <d v="2025-03-04T00:00:00"/>
    <s v="M"/>
    <x v="4"/>
    <x v="0"/>
    <x v="0"/>
    <x v="11"/>
    <x v="1"/>
    <x v="9"/>
    <x v="1"/>
  </r>
  <r>
    <x v="1635"/>
    <x v="7"/>
    <x v="21"/>
    <n v="41.5"/>
    <n v="581"/>
    <x v="60"/>
    <d v="2025-03-16T00:00:00"/>
    <s v="M"/>
    <x v="1"/>
    <x v="0"/>
    <x v="0"/>
    <x v="53"/>
    <x v="12"/>
    <x v="9"/>
    <x v="1"/>
  </r>
  <r>
    <x v="1636"/>
    <x v="8"/>
    <x v="0"/>
    <n v="32.799999999999997"/>
    <n v="32.799999999999997"/>
    <x v="60"/>
    <d v="2025-03-05T00:00:00"/>
    <s v="M"/>
    <x v="0"/>
    <x v="2"/>
    <x v="0"/>
    <x v="30"/>
    <x v="2"/>
    <x v="9"/>
    <x v="1"/>
  </r>
  <r>
    <x v="1637"/>
    <x v="4"/>
    <x v="3"/>
    <n v="46.7"/>
    <n v="326.90000000000003"/>
    <x v="60"/>
    <d v="2025-03-04T00:00:00"/>
    <s v="O"/>
    <x v="0"/>
    <x v="2"/>
    <x v="0"/>
    <x v="18"/>
    <x v="1"/>
    <x v="9"/>
    <x v="3"/>
  </r>
  <r>
    <x v="1638"/>
    <x v="15"/>
    <x v="3"/>
    <n v="21"/>
    <n v="147"/>
    <x v="60"/>
    <d v="2025-03-05T00:00:00"/>
    <s v="M"/>
    <x v="2"/>
    <x v="1"/>
    <x v="0"/>
    <x v="21"/>
    <x v="2"/>
    <x v="9"/>
    <x v="1"/>
  </r>
  <r>
    <x v="1639"/>
    <x v="5"/>
    <x v="3"/>
    <n v="29.4"/>
    <n v="205.79999999999998"/>
    <x v="60"/>
    <d v="2025-03-02T00:00:00"/>
    <s v="M"/>
    <x v="3"/>
    <x v="2"/>
    <x v="0"/>
    <x v="21"/>
    <x v="7"/>
    <x v="9"/>
    <x v="1"/>
  </r>
  <r>
    <x v="1640"/>
    <x v="15"/>
    <x v="1"/>
    <n v="32.299999999999997"/>
    <n v="64.599999999999994"/>
    <x v="60"/>
    <d v="2025-03-03T00:00:00"/>
    <s v="M"/>
    <x v="0"/>
    <x v="2"/>
    <x v="0"/>
    <x v="21"/>
    <x v="3"/>
    <x v="9"/>
    <x v="1"/>
  </r>
  <r>
    <x v="1641"/>
    <x v="6"/>
    <x v="0"/>
    <n v="42.2"/>
    <n v="42.2"/>
    <x v="61"/>
    <d v="2025-03-05T00:00:00"/>
    <s v="F"/>
    <x v="0"/>
    <x v="2"/>
    <x v="0"/>
    <x v="21"/>
    <x v="1"/>
    <x v="9"/>
    <x v="2"/>
  </r>
  <r>
    <x v="1642"/>
    <x v="6"/>
    <x v="0"/>
    <n v="53.7"/>
    <n v="53.7"/>
    <x v="61"/>
    <d v="2025-03-05T00:00:00"/>
    <s v="M"/>
    <x v="1"/>
    <x v="1"/>
    <x v="0"/>
    <x v="1"/>
    <x v="1"/>
    <x v="9"/>
    <x v="1"/>
  </r>
  <r>
    <x v="1643"/>
    <x v="2"/>
    <x v="1"/>
    <n v="123.9"/>
    <n v="247.8"/>
    <x v="61"/>
    <d v="2025-03-06T00:00:00"/>
    <s v="M"/>
    <x v="2"/>
    <x v="0"/>
    <x v="0"/>
    <x v="1"/>
    <x v="2"/>
    <x v="9"/>
    <x v="1"/>
  </r>
  <r>
    <x v="1644"/>
    <x v="4"/>
    <x v="2"/>
    <n v="35.9"/>
    <n v="107.69999999999999"/>
    <x v="61"/>
    <d v="2025-03-05T00:00:00"/>
    <s v="M"/>
    <x v="2"/>
    <x v="0"/>
    <x v="0"/>
    <x v="22"/>
    <x v="1"/>
    <x v="9"/>
    <x v="1"/>
  </r>
  <r>
    <x v="1645"/>
    <x v="4"/>
    <x v="1"/>
    <n v="23.6"/>
    <n v="47.2"/>
    <x v="61"/>
    <d v="2025-03-06T00:00:00"/>
    <s v="M"/>
    <x v="0"/>
    <x v="2"/>
    <x v="0"/>
    <x v="3"/>
    <x v="2"/>
    <x v="9"/>
    <x v="1"/>
  </r>
  <r>
    <x v="1646"/>
    <x v="15"/>
    <x v="36"/>
    <n v="45.7"/>
    <n v="1599.5"/>
    <x v="61"/>
    <d v="2025-03-04T00:00:00"/>
    <s v="M"/>
    <x v="0"/>
    <x v="1"/>
    <x v="0"/>
    <x v="3"/>
    <x v="3"/>
    <x v="9"/>
    <x v="1"/>
  </r>
  <r>
    <x v="1647"/>
    <x v="6"/>
    <x v="5"/>
    <n v="118.3"/>
    <n v="1301.3"/>
    <x v="61"/>
    <d v="2025-03-05T00:00:00"/>
    <s v="M"/>
    <x v="4"/>
    <x v="2"/>
    <x v="0"/>
    <x v="3"/>
    <x v="1"/>
    <x v="9"/>
    <x v="1"/>
  </r>
  <r>
    <x v="1648"/>
    <x v="19"/>
    <x v="0"/>
    <n v="36"/>
    <n v="36"/>
    <x v="61"/>
    <d v="2025-03-04T00:00:00"/>
    <s v="F"/>
    <x v="0"/>
    <x v="1"/>
    <x v="0"/>
    <x v="3"/>
    <x v="3"/>
    <x v="9"/>
    <x v="2"/>
  </r>
  <r>
    <x v="1649"/>
    <x v="8"/>
    <x v="1"/>
    <n v="37.1"/>
    <n v="74.2"/>
    <x v="61"/>
    <d v="2025-03-06T00:00:00"/>
    <s v="F"/>
    <x v="2"/>
    <x v="0"/>
    <x v="0"/>
    <x v="3"/>
    <x v="2"/>
    <x v="9"/>
    <x v="2"/>
  </r>
  <r>
    <x v="1650"/>
    <x v="18"/>
    <x v="2"/>
    <n v="45.1"/>
    <n v="135.30000000000001"/>
    <x v="61"/>
    <d v="2025-03-05T00:00:00"/>
    <s v="F"/>
    <x v="1"/>
    <x v="2"/>
    <x v="0"/>
    <x v="3"/>
    <x v="1"/>
    <x v="9"/>
    <x v="2"/>
  </r>
  <r>
    <x v="1651"/>
    <x v="5"/>
    <x v="27"/>
    <n v="37.9"/>
    <n v="606.4"/>
    <x v="61"/>
    <d v="2025-03-04T00:00:00"/>
    <s v="F"/>
    <x v="3"/>
    <x v="2"/>
    <x v="0"/>
    <x v="3"/>
    <x v="3"/>
    <x v="9"/>
    <x v="2"/>
  </r>
  <r>
    <x v="1652"/>
    <x v="2"/>
    <x v="1"/>
    <n v="121.6"/>
    <n v="243.2"/>
    <x v="61"/>
    <d v="2025-03-06T00:00:00"/>
    <s v="M"/>
    <x v="3"/>
    <x v="2"/>
    <x v="0"/>
    <x v="3"/>
    <x v="2"/>
    <x v="9"/>
    <x v="1"/>
  </r>
  <r>
    <x v="1653"/>
    <x v="5"/>
    <x v="3"/>
    <n v="38.200000000000003"/>
    <n v="267.40000000000003"/>
    <x v="61"/>
    <d v="2025-03-06T00:00:00"/>
    <s v="F"/>
    <x v="0"/>
    <x v="0"/>
    <x v="0"/>
    <x v="3"/>
    <x v="2"/>
    <x v="9"/>
    <x v="2"/>
  </r>
  <r>
    <x v="1654"/>
    <x v="17"/>
    <x v="1"/>
    <n v="37.200000000000003"/>
    <n v="74.400000000000006"/>
    <x v="61"/>
    <d v="2025-03-06T00:00:00"/>
    <s v="M"/>
    <x v="4"/>
    <x v="0"/>
    <x v="0"/>
    <x v="3"/>
    <x v="2"/>
    <x v="9"/>
    <x v="1"/>
  </r>
  <r>
    <x v="1655"/>
    <x v="2"/>
    <x v="12"/>
    <n v="115.7"/>
    <n v="462.8"/>
    <x v="61"/>
    <d v="2025-03-06T00:00:00"/>
    <s v="F"/>
    <x v="1"/>
    <x v="0"/>
    <x v="0"/>
    <x v="3"/>
    <x v="2"/>
    <x v="9"/>
    <x v="2"/>
  </r>
  <r>
    <x v="1656"/>
    <x v="2"/>
    <x v="13"/>
    <n v="99.4"/>
    <n v="596.40000000000009"/>
    <x v="61"/>
    <d v="2025-03-06T00:00:00"/>
    <s v="M"/>
    <x v="0"/>
    <x v="2"/>
    <x v="0"/>
    <x v="3"/>
    <x v="2"/>
    <x v="9"/>
    <x v="1"/>
  </r>
  <r>
    <x v="1657"/>
    <x v="11"/>
    <x v="0"/>
    <n v="38.700000000000003"/>
    <n v="38.700000000000003"/>
    <x v="61"/>
    <d v="2025-03-04T00:00:00"/>
    <s v="F"/>
    <x v="2"/>
    <x v="0"/>
    <x v="0"/>
    <x v="25"/>
    <x v="3"/>
    <x v="9"/>
    <x v="2"/>
  </r>
  <r>
    <x v="1658"/>
    <x v="4"/>
    <x v="1"/>
    <n v="35.5"/>
    <n v="71"/>
    <x v="61"/>
    <d v="2025-03-06T00:00:00"/>
    <s v="M"/>
    <x v="0"/>
    <x v="2"/>
    <x v="0"/>
    <x v="25"/>
    <x v="2"/>
    <x v="9"/>
    <x v="1"/>
  </r>
  <r>
    <x v="1659"/>
    <x v="2"/>
    <x v="12"/>
    <n v="93.3"/>
    <n v="373.2"/>
    <x v="61"/>
    <d v="2025-03-06T00:00:00"/>
    <s v="F"/>
    <x v="0"/>
    <x v="2"/>
    <x v="0"/>
    <x v="6"/>
    <x v="2"/>
    <x v="9"/>
    <x v="2"/>
  </r>
  <r>
    <x v="1660"/>
    <x v="16"/>
    <x v="0"/>
    <n v="31.4"/>
    <n v="31.4"/>
    <x v="61"/>
    <d v="2025-03-08T00:00:00"/>
    <s v="F"/>
    <x v="2"/>
    <x v="2"/>
    <x v="0"/>
    <x v="6"/>
    <x v="0"/>
    <x v="9"/>
    <x v="2"/>
  </r>
  <r>
    <x v="1661"/>
    <x v="1"/>
    <x v="0"/>
    <n v="85.9"/>
    <n v="85.9"/>
    <x v="61"/>
    <d v="2025-03-06T00:00:00"/>
    <s v="M"/>
    <x v="1"/>
    <x v="0"/>
    <x v="0"/>
    <x v="6"/>
    <x v="2"/>
    <x v="9"/>
    <x v="1"/>
  </r>
  <r>
    <x v="1662"/>
    <x v="6"/>
    <x v="8"/>
    <n v="41.7"/>
    <n v="333.6"/>
    <x v="61"/>
    <d v="2025-03-11T00:00:00"/>
    <s v="M"/>
    <x v="0"/>
    <x v="2"/>
    <x v="0"/>
    <x v="7"/>
    <x v="9"/>
    <x v="9"/>
    <x v="1"/>
  </r>
  <r>
    <x v="1663"/>
    <x v="8"/>
    <x v="12"/>
    <n v="31.5"/>
    <n v="126"/>
    <x v="61"/>
    <d v="2025-03-04T00:00:00"/>
    <s v="F"/>
    <x v="0"/>
    <x v="0"/>
    <x v="0"/>
    <x v="7"/>
    <x v="3"/>
    <x v="9"/>
    <x v="2"/>
  </r>
  <r>
    <x v="1664"/>
    <x v="8"/>
    <x v="1"/>
    <n v="36.299999999999997"/>
    <n v="72.599999999999994"/>
    <x v="61"/>
    <d v="2025-03-04T00:00:00"/>
    <s v="F"/>
    <x v="0"/>
    <x v="4"/>
    <x v="0"/>
    <x v="8"/>
    <x v="3"/>
    <x v="9"/>
    <x v="2"/>
  </r>
  <r>
    <x v="1665"/>
    <x v="8"/>
    <x v="2"/>
    <n v="33.4"/>
    <n v="100.19999999999999"/>
    <x v="61"/>
    <d v="2025-03-04T00:00:00"/>
    <s v="F"/>
    <x v="3"/>
    <x v="0"/>
    <x v="0"/>
    <x v="17"/>
    <x v="3"/>
    <x v="9"/>
    <x v="2"/>
  </r>
  <r>
    <x v="1666"/>
    <x v="2"/>
    <x v="2"/>
    <n v="65.2"/>
    <n v="195.60000000000002"/>
    <x v="61"/>
    <d v="2025-03-04T00:00:00"/>
    <s v="F"/>
    <x v="2"/>
    <x v="2"/>
    <x v="0"/>
    <x v="26"/>
    <x v="3"/>
    <x v="9"/>
    <x v="2"/>
  </r>
  <r>
    <x v="1667"/>
    <x v="8"/>
    <x v="11"/>
    <n v="65.5"/>
    <n v="589.5"/>
    <x v="61"/>
    <d v="2025-03-06T00:00:00"/>
    <s v="F"/>
    <x v="0"/>
    <x v="2"/>
    <x v="0"/>
    <x v="9"/>
    <x v="2"/>
    <x v="9"/>
    <x v="2"/>
  </r>
  <r>
    <x v="1668"/>
    <x v="6"/>
    <x v="2"/>
    <n v="52.8"/>
    <n v="158.39999999999998"/>
    <x v="61"/>
    <d v="2025-03-06T00:00:00"/>
    <s v="M"/>
    <x v="2"/>
    <x v="0"/>
    <x v="0"/>
    <x v="9"/>
    <x v="2"/>
    <x v="9"/>
    <x v="1"/>
  </r>
  <r>
    <x v="1669"/>
    <x v="9"/>
    <x v="9"/>
    <n v="24"/>
    <n v="120"/>
    <x v="61"/>
    <d v="2025-03-07T00:00:00"/>
    <s v="M"/>
    <x v="0"/>
    <x v="1"/>
    <x v="0"/>
    <x v="11"/>
    <x v="5"/>
    <x v="9"/>
    <x v="1"/>
  </r>
  <r>
    <x v="1670"/>
    <x v="3"/>
    <x v="2"/>
    <n v="51.2"/>
    <n v="153.60000000000002"/>
    <x v="61"/>
    <d v="2025-03-04T00:00:00"/>
    <s v="F"/>
    <x v="0"/>
    <x v="0"/>
    <x v="0"/>
    <x v="32"/>
    <x v="3"/>
    <x v="9"/>
    <x v="2"/>
  </r>
  <r>
    <x v="1671"/>
    <x v="5"/>
    <x v="2"/>
    <n v="28.3"/>
    <n v="84.9"/>
    <x v="61"/>
    <d v="2025-03-05T00:00:00"/>
    <s v="M"/>
    <x v="4"/>
    <x v="0"/>
    <x v="0"/>
    <x v="19"/>
    <x v="1"/>
    <x v="9"/>
    <x v="1"/>
  </r>
  <r>
    <x v="1672"/>
    <x v="6"/>
    <x v="2"/>
    <n v="42.3"/>
    <n v="126.89999999999999"/>
    <x v="61"/>
    <d v="2025-03-03T00:00:00"/>
    <s v="F"/>
    <x v="2"/>
    <x v="1"/>
    <x v="0"/>
    <x v="19"/>
    <x v="7"/>
    <x v="9"/>
    <x v="2"/>
  </r>
  <r>
    <x v="1673"/>
    <x v="2"/>
    <x v="8"/>
    <n v="163.30000000000001"/>
    <n v="1306.4000000000001"/>
    <x v="62"/>
    <d v="2025-03-05T00:00:00"/>
    <s v="F"/>
    <x v="1"/>
    <x v="0"/>
    <x v="0"/>
    <x v="13"/>
    <x v="3"/>
    <x v="9"/>
    <x v="2"/>
  </r>
  <r>
    <x v="1674"/>
    <x v="6"/>
    <x v="3"/>
    <n v="47.3"/>
    <n v="331.09999999999997"/>
    <x v="62"/>
    <d v="2025-03-07T00:00:00"/>
    <s v="F"/>
    <x v="4"/>
    <x v="1"/>
    <x v="0"/>
    <x v="21"/>
    <x v="2"/>
    <x v="9"/>
    <x v="2"/>
  </r>
  <r>
    <x v="1675"/>
    <x v="8"/>
    <x v="27"/>
    <n v="27.3"/>
    <n v="436.8"/>
    <x v="62"/>
    <d v="2025-03-05T00:00:00"/>
    <s v="F"/>
    <x v="2"/>
    <x v="0"/>
    <x v="0"/>
    <x v="21"/>
    <x v="3"/>
    <x v="9"/>
    <x v="2"/>
  </r>
  <r>
    <x v="1676"/>
    <x v="10"/>
    <x v="13"/>
    <n v="34.9"/>
    <n v="209.39999999999998"/>
    <x v="62"/>
    <d v="2025-03-15T00:00:00"/>
    <s v="F"/>
    <x v="0"/>
    <x v="0"/>
    <x v="0"/>
    <x v="21"/>
    <x v="11"/>
    <x v="9"/>
    <x v="2"/>
  </r>
  <r>
    <x v="1677"/>
    <x v="6"/>
    <x v="1"/>
    <n v="53.9"/>
    <n v="107.8"/>
    <x v="62"/>
    <d v="2025-03-07T00:00:00"/>
    <s v="O"/>
    <x v="0"/>
    <x v="4"/>
    <x v="0"/>
    <x v="1"/>
    <x v="2"/>
    <x v="9"/>
    <x v="3"/>
  </r>
  <r>
    <x v="1678"/>
    <x v="2"/>
    <x v="1"/>
    <n v="87.2"/>
    <n v="174.4"/>
    <x v="62"/>
    <d v="2025-03-05T00:00:00"/>
    <s v="F"/>
    <x v="0"/>
    <x v="1"/>
    <x v="0"/>
    <x v="1"/>
    <x v="3"/>
    <x v="9"/>
    <x v="2"/>
  </r>
  <r>
    <x v="1679"/>
    <x v="15"/>
    <x v="0"/>
    <n v="58.8"/>
    <n v="58.8"/>
    <x v="62"/>
    <d v="2025-03-06T00:00:00"/>
    <s v="F"/>
    <x v="2"/>
    <x v="0"/>
    <x v="0"/>
    <x v="44"/>
    <x v="1"/>
    <x v="9"/>
    <x v="2"/>
  </r>
  <r>
    <x v="1680"/>
    <x v="2"/>
    <x v="3"/>
    <n v="125.5"/>
    <n v="878.5"/>
    <x v="62"/>
    <d v="2025-03-05T00:00:00"/>
    <s v="M"/>
    <x v="2"/>
    <x v="4"/>
    <x v="0"/>
    <x v="22"/>
    <x v="3"/>
    <x v="9"/>
    <x v="1"/>
  </r>
  <r>
    <x v="1681"/>
    <x v="1"/>
    <x v="12"/>
    <n v="124.6"/>
    <n v="498.4"/>
    <x v="62"/>
    <d v="2025-03-06T00:00:00"/>
    <s v="F"/>
    <x v="0"/>
    <x v="1"/>
    <x v="0"/>
    <x v="22"/>
    <x v="1"/>
    <x v="9"/>
    <x v="2"/>
  </r>
  <r>
    <x v="1682"/>
    <x v="1"/>
    <x v="3"/>
    <n v="39.9"/>
    <n v="279.3"/>
    <x v="62"/>
    <d v="2025-03-05T00:00:00"/>
    <s v="M"/>
    <x v="2"/>
    <x v="1"/>
    <x v="0"/>
    <x v="3"/>
    <x v="3"/>
    <x v="9"/>
    <x v="1"/>
  </r>
  <r>
    <x v="1683"/>
    <x v="6"/>
    <x v="0"/>
    <n v="94.6"/>
    <n v="94.6"/>
    <x v="62"/>
    <d v="2025-03-18T00:00:00"/>
    <s v="F"/>
    <x v="0"/>
    <x v="1"/>
    <x v="0"/>
    <x v="3"/>
    <x v="12"/>
    <x v="9"/>
    <x v="2"/>
  </r>
  <r>
    <x v="1684"/>
    <x v="2"/>
    <x v="1"/>
    <n v="149.6"/>
    <n v="299.2"/>
    <x v="62"/>
    <d v="2025-03-05T00:00:00"/>
    <s v="F"/>
    <x v="0"/>
    <x v="0"/>
    <x v="0"/>
    <x v="3"/>
    <x v="3"/>
    <x v="9"/>
    <x v="2"/>
  </r>
  <r>
    <x v="1685"/>
    <x v="8"/>
    <x v="0"/>
    <n v="52.2"/>
    <n v="52.2"/>
    <x v="62"/>
    <d v="2025-03-05T00:00:00"/>
    <s v=""/>
    <x v="1"/>
    <x v="0"/>
    <x v="0"/>
    <x v="3"/>
    <x v="3"/>
    <x v="9"/>
    <x v="0"/>
  </r>
  <r>
    <x v="1686"/>
    <x v="6"/>
    <x v="1"/>
    <n v="96.5"/>
    <n v="193"/>
    <x v="62"/>
    <d v="2025-03-05T00:00:00"/>
    <s v="F"/>
    <x v="1"/>
    <x v="1"/>
    <x v="0"/>
    <x v="3"/>
    <x v="3"/>
    <x v="9"/>
    <x v="2"/>
  </r>
  <r>
    <x v="1687"/>
    <x v="8"/>
    <x v="1"/>
    <n v="79.8"/>
    <n v="159.6"/>
    <x v="62"/>
    <d v="2025-03-06T00:00:00"/>
    <s v="F"/>
    <x v="0"/>
    <x v="1"/>
    <x v="0"/>
    <x v="3"/>
    <x v="1"/>
    <x v="9"/>
    <x v="2"/>
  </r>
  <r>
    <x v="1688"/>
    <x v="8"/>
    <x v="2"/>
    <n v="35.6"/>
    <n v="106.80000000000001"/>
    <x v="62"/>
    <d v="2025-03-05T00:00:00"/>
    <s v="F"/>
    <x v="2"/>
    <x v="0"/>
    <x v="0"/>
    <x v="3"/>
    <x v="3"/>
    <x v="9"/>
    <x v="2"/>
  </r>
  <r>
    <x v="1689"/>
    <x v="16"/>
    <x v="0"/>
    <n v="50.2"/>
    <n v="50.2"/>
    <x v="62"/>
    <d v="2025-03-05T00:00:00"/>
    <s v="F"/>
    <x v="1"/>
    <x v="2"/>
    <x v="0"/>
    <x v="3"/>
    <x v="3"/>
    <x v="9"/>
    <x v="2"/>
  </r>
  <r>
    <x v="1690"/>
    <x v="1"/>
    <x v="2"/>
    <n v="55.3"/>
    <n v="165.89999999999998"/>
    <x v="62"/>
    <d v="2025-03-07T00:00:00"/>
    <s v="F"/>
    <x v="0"/>
    <x v="4"/>
    <x v="0"/>
    <x v="40"/>
    <x v="2"/>
    <x v="9"/>
    <x v="2"/>
  </r>
  <r>
    <x v="1691"/>
    <x v="6"/>
    <x v="3"/>
    <n v="104.5"/>
    <n v="731.5"/>
    <x v="62"/>
    <d v="2025-03-08T00:00:00"/>
    <s v="F"/>
    <x v="1"/>
    <x v="0"/>
    <x v="0"/>
    <x v="7"/>
    <x v="5"/>
    <x v="9"/>
    <x v="2"/>
  </r>
  <r>
    <x v="1692"/>
    <x v="6"/>
    <x v="12"/>
    <n v="66.5"/>
    <n v="266"/>
    <x v="62"/>
    <d v="2025-03-06T00:00:00"/>
    <s v="M"/>
    <x v="1"/>
    <x v="0"/>
    <x v="0"/>
    <x v="7"/>
    <x v="1"/>
    <x v="9"/>
    <x v="1"/>
  </r>
  <r>
    <x v="1693"/>
    <x v="10"/>
    <x v="8"/>
    <n v="38.299999999999997"/>
    <n v="306.39999999999998"/>
    <x v="62"/>
    <d v="2025-03-05T00:00:00"/>
    <s v="F"/>
    <x v="0"/>
    <x v="0"/>
    <x v="0"/>
    <x v="7"/>
    <x v="3"/>
    <x v="9"/>
    <x v="2"/>
  </r>
  <r>
    <x v="1694"/>
    <x v="6"/>
    <x v="2"/>
    <n v="63.8"/>
    <n v="191.39999999999998"/>
    <x v="62"/>
    <d v="2025-03-07T00:00:00"/>
    <s v="F"/>
    <x v="1"/>
    <x v="0"/>
    <x v="0"/>
    <x v="8"/>
    <x v="2"/>
    <x v="9"/>
    <x v="2"/>
  </r>
  <r>
    <x v="1695"/>
    <x v="15"/>
    <x v="0"/>
    <n v="21.4"/>
    <n v="21.4"/>
    <x v="62"/>
    <d v="2025-03-04T00:00:00"/>
    <s v="M"/>
    <x v="4"/>
    <x v="0"/>
    <x v="0"/>
    <x v="8"/>
    <x v="7"/>
    <x v="9"/>
    <x v="1"/>
  </r>
  <r>
    <x v="1696"/>
    <x v="8"/>
    <x v="12"/>
    <n v="44.1"/>
    <n v="176.4"/>
    <x v="62"/>
    <d v="2025-03-06T00:00:00"/>
    <s v="F"/>
    <x v="2"/>
    <x v="0"/>
    <x v="0"/>
    <x v="8"/>
    <x v="1"/>
    <x v="9"/>
    <x v="2"/>
  </r>
  <r>
    <x v="1697"/>
    <x v="5"/>
    <x v="8"/>
    <n v="57.6"/>
    <n v="460.8"/>
    <x v="62"/>
    <d v="2025-03-06T00:00:00"/>
    <s v="M"/>
    <x v="1"/>
    <x v="2"/>
    <x v="0"/>
    <x v="8"/>
    <x v="1"/>
    <x v="9"/>
    <x v="1"/>
  </r>
  <r>
    <x v="1698"/>
    <x v="9"/>
    <x v="1"/>
    <n v="20.3"/>
    <n v="40.6"/>
    <x v="62"/>
    <d v="2025-03-10T00:00:00"/>
    <s v="F"/>
    <x v="3"/>
    <x v="0"/>
    <x v="0"/>
    <x v="8"/>
    <x v="4"/>
    <x v="9"/>
    <x v="2"/>
  </r>
  <r>
    <x v="1699"/>
    <x v="8"/>
    <x v="0"/>
    <n v="22.9"/>
    <n v="22.9"/>
    <x v="62"/>
    <d v="2025-03-06T00:00:00"/>
    <s v="F"/>
    <x v="2"/>
    <x v="2"/>
    <x v="0"/>
    <x v="8"/>
    <x v="1"/>
    <x v="9"/>
    <x v="2"/>
  </r>
  <r>
    <x v="1700"/>
    <x v="6"/>
    <x v="12"/>
    <n v="105.9"/>
    <n v="423.6"/>
    <x v="62"/>
    <d v="2025-03-05T00:00:00"/>
    <s v="F"/>
    <x v="1"/>
    <x v="2"/>
    <x v="0"/>
    <x v="17"/>
    <x v="3"/>
    <x v="9"/>
    <x v="2"/>
  </r>
  <r>
    <x v="1701"/>
    <x v="1"/>
    <x v="11"/>
    <n v="37.4"/>
    <n v="336.59999999999997"/>
    <x v="62"/>
    <d v="2025-03-08T00:00:00"/>
    <s v="M"/>
    <x v="1"/>
    <x v="0"/>
    <x v="0"/>
    <x v="11"/>
    <x v="5"/>
    <x v="9"/>
    <x v="1"/>
  </r>
  <r>
    <x v="1702"/>
    <x v="18"/>
    <x v="1"/>
    <n v="79"/>
    <n v="158"/>
    <x v="62"/>
    <d v="2025-03-05T00:00:00"/>
    <s v="M"/>
    <x v="2"/>
    <x v="0"/>
    <x v="0"/>
    <x v="28"/>
    <x v="3"/>
    <x v="9"/>
    <x v="1"/>
  </r>
  <r>
    <x v="1703"/>
    <x v="0"/>
    <x v="2"/>
    <n v="19.3"/>
    <n v="57.900000000000006"/>
    <x v="62"/>
    <d v="2025-03-05T00:00:00"/>
    <s v="F"/>
    <x v="4"/>
    <x v="0"/>
    <x v="0"/>
    <x v="21"/>
    <x v="3"/>
    <x v="9"/>
    <x v="2"/>
  </r>
  <r>
    <x v="1704"/>
    <x v="0"/>
    <x v="0"/>
    <n v="24"/>
    <n v="24"/>
    <x v="62"/>
    <d v="2025-03-05T00:00:00"/>
    <s v="F"/>
    <x v="1"/>
    <x v="0"/>
    <x v="0"/>
    <x v="1"/>
    <x v="3"/>
    <x v="9"/>
    <x v="2"/>
  </r>
  <r>
    <x v="1705"/>
    <x v="6"/>
    <x v="9"/>
    <n v="71.3"/>
    <n v="356.5"/>
    <x v="62"/>
    <d v="2025-03-07T00:00:00"/>
    <s v="F"/>
    <x v="2"/>
    <x v="0"/>
    <x v="0"/>
    <x v="2"/>
    <x v="2"/>
    <x v="9"/>
    <x v="2"/>
  </r>
  <r>
    <x v="1706"/>
    <x v="5"/>
    <x v="1"/>
    <n v="166.2"/>
    <n v="332.4"/>
    <x v="62"/>
    <d v="2025-03-05T00:00:00"/>
    <s v="M"/>
    <x v="0"/>
    <x v="2"/>
    <x v="0"/>
    <x v="50"/>
    <x v="3"/>
    <x v="9"/>
    <x v="1"/>
  </r>
  <r>
    <x v="1707"/>
    <x v="6"/>
    <x v="0"/>
    <n v="81"/>
    <n v="81"/>
    <x v="62"/>
    <d v="2025-03-05T00:00:00"/>
    <s v="F"/>
    <x v="2"/>
    <x v="1"/>
    <x v="0"/>
    <x v="3"/>
    <x v="3"/>
    <x v="9"/>
    <x v="2"/>
  </r>
  <r>
    <x v="1708"/>
    <x v="10"/>
    <x v="13"/>
    <n v="38.5"/>
    <n v="231"/>
    <x v="62"/>
    <d v="2025-03-08T00:00:00"/>
    <s v="F"/>
    <x v="0"/>
    <x v="0"/>
    <x v="0"/>
    <x v="3"/>
    <x v="5"/>
    <x v="9"/>
    <x v="2"/>
  </r>
  <r>
    <x v="1709"/>
    <x v="6"/>
    <x v="0"/>
    <n v="86.1"/>
    <n v="86.1"/>
    <x v="62"/>
    <d v="2025-03-06T00:00:00"/>
    <s v="F"/>
    <x v="3"/>
    <x v="0"/>
    <x v="0"/>
    <x v="3"/>
    <x v="1"/>
    <x v="9"/>
    <x v="2"/>
  </r>
  <r>
    <x v="1710"/>
    <x v="2"/>
    <x v="9"/>
    <n v="51"/>
    <n v="255"/>
    <x v="62"/>
    <d v="2025-03-05T00:00:00"/>
    <s v="M"/>
    <x v="0"/>
    <x v="1"/>
    <x v="0"/>
    <x v="3"/>
    <x v="3"/>
    <x v="9"/>
    <x v="1"/>
  </r>
  <r>
    <x v="1711"/>
    <x v="3"/>
    <x v="9"/>
    <n v="115.4"/>
    <n v="577"/>
    <x v="62"/>
    <d v="2025-03-05T00:00:00"/>
    <s v="M"/>
    <x v="0"/>
    <x v="0"/>
    <x v="0"/>
    <x v="3"/>
    <x v="3"/>
    <x v="9"/>
    <x v="1"/>
  </r>
  <r>
    <x v="1712"/>
    <x v="6"/>
    <x v="12"/>
    <n v="176.5"/>
    <n v="706"/>
    <x v="62"/>
    <d v="2025-03-05T00:00:00"/>
    <s v="F"/>
    <x v="2"/>
    <x v="2"/>
    <x v="0"/>
    <x v="3"/>
    <x v="3"/>
    <x v="9"/>
    <x v="2"/>
  </r>
  <r>
    <x v="1713"/>
    <x v="7"/>
    <x v="2"/>
    <n v="48.9"/>
    <n v="146.69999999999999"/>
    <x v="62"/>
    <d v="2025-03-05T00:00:00"/>
    <s v="M"/>
    <x v="4"/>
    <x v="0"/>
    <x v="0"/>
    <x v="3"/>
    <x v="3"/>
    <x v="9"/>
    <x v="1"/>
  </r>
  <r>
    <x v="1714"/>
    <x v="8"/>
    <x v="2"/>
    <n v="18.100000000000001"/>
    <n v="54.300000000000004"/>
    <x v="62"/>
    <d v="2025-03-11T00:00:00"/>
    <s v="F"/>
    <x v="1"/>
    <x v="2"/>
    <x v="0"/>
    <x v="29"/>
    <x v="6"/>
    <x v="9"/>
    <x v="2"/>
  </r>
  <r>
    <x v="1715"/>
    <x v="2"/>
    <x v="1"/>
    <n v="118.5"/>
    <n v="237"/>
    <x v="62"/>
    <d v="2025-03-07T00:00:00"/>
    <s v="M"/>
    <x v="1"/>
    <x v="2"/>
    <x v="0"/>
    <x v="16"/>
    <x v="2"/>
    <x v="9"/>
    <x v="1"/>
  </r>
  <r>
    <x v="1716"/>
    <x v="15"/>
    <x v="3"/>
    <n v="59.1"/>
    <n v="413.7"/>
    <x v="62"/>
    <d v="2025-03-05T00:00:00"/>
    <s v="F"/>
    <x v="3"/>
    <x v="0"/>
    <x v="0"/>
    <x v="25"/>
    <x v="3"/>
    <x v="9"/>
    <x v="2"/>
  </r>
  <r>
    <x v="1717"/>
    <x v="4"/>
    <x v="0"/>
    <n v="21.2"/>
    <n v="21.2"/>
    <x v="62"/>
    <d v="2025-03-05T00:00:00"/>
    <s v="F"/>
    <x v="0"/>
    <x v="1"/>
    <x v="0"/>
    <x v="6"/>
    <x v="3"/>
    <x v="9"/>
    <x v="2"/>
  </r>
  <r>
    <x v="1718"/>
    <x v="6"/>
    <x v="1"/>
    <n v="68.8"/>
    <n v="137.6"/>
    <x v="62"/>
    <d v="2025-03-09T00:00:00"/>
    <s v="F"/>
    <x v="3"/>
    <x v="2"/>
    <x v="0"/>
    <x v="6"/>
    <x v="0"/>
    <x v="9"/>
    <x v="2"/>
  </r>
  <r>
    <x v="1719"/>
    <x v="6"/>
    <x v="1"/>
    <n v="65.400000000000006"/>
    <n v="130.80000000000001"/>
    <x v="62"/>
    <d v="2025-03-08T00:00:00"/>
    <s v="F"/>
    <x v="0"/>
    <x v="0"/>
    <x v="0"/>
    <x v="6"/>
    <x v="5"/>
    <x v="9"/>
    <x v="2"/>
  </r>
  <r>
    <x v="1720"/>
    <x v="12"/>
    <x v="9"/>
    <n v="66.3"/>
    <n v="331.5"/>
    <x v="63"/>
    <d v="2025-03-08T00:00:00"/>
    <s v="F"/>
    <x v="4"/>
    <x v="0"/>
    <x v="0"/>
    <x v="6"/>
    <x v="2"/>
    <x v="9"/>
    <x v="2"/>
  </r>
  <r>
    <x v="1721"/>
    <x v="6"/>
    <x v="2"/>
    <n v="97.5"/>
    <n v="292.5"/>
    <x v="63"/>
    <d v="2025-03-05T00:00:00"/>
    <s v="M"/>
    <x v="3"/>
    <x v="0"/>
    <x v="0"/>
    <x v="8"/>
    <x v="7"/>
    <x v="9"/>
    <x v="1"/>
  </r>
  <r>
    <x v="1722"/>
    <x v="1"/>
    <x v="1"/>
    <n v="44"/>
    <n v="88"/>
    <x v="63"/>
    <d v="2025-03-08T00:00:00"/>
    <s v="F"/>
    <x v="1"/>
    <x v="2"/>
    <x v="0"/>
    <x v="8"/>
    <x v="2"/>
    <x v="9"/>
    <x v="2"/>
  </r>
  <r>
    <x v="1723"/>
    <x v="0"/>
    <x v="0"/>
    <n v="21.9"/>
    <n v="21.9"/>
    <x v="63"/>
    <d v="2025-03-06T00:00:00"/>
    <s v="M"/>
    <x v="0"/>
    <x v="0"/>
    <x v="0"/>
    <x v="8"/>
    <x v="3"/>
    <x v="9"/>
    <x v="1"/>
  </r>
  <r>
    <x v="1724"/>
    <x v="4"/>
    <x v="3"/>
    <n v="21.5"/>
    <n v="150.5"/>
    <x v="63"/>
    <d v="2025-03-07T00:00:00"/>
    <s v="F"/>
    <x v="1"/>
    <x v="2"/>
    <x v="0"/>
    <x v="9"/>
    <x v="1"/>
    <x v="9"/>
    <x v="2"/>
  </r>
  <r>
    <x v="1725"/>
    <x v="12"/>
    <x v="13"/>
    <n v="133"/>
    <n v="798"/>
    <x v="63"/>
    <d v="2025-03-06T00:00:00"/>
    <s v="O"/>
    <x v="0"/>
    <x v="2"/>
    <x v="0"/>
    <x v="10"/>
    <x v="3"/>
    <x v="9"/>
    <x v="3"/>
  </r>
  <r>
    <x v="1726"/>
    <x v="8"/>
    <x v="1"/>
    <n v="47.7"/>
    <n v="95.4"/>
    <x v="63"/>
    <d v="2025-03-09T00:00:00"/>
    <s v="M"/>
    <x v="0"/>
    <x v="2"/>
    <x v="0"/>
    <x v="10"/>
    <x v="5"/>
    <x v="9"/>
    <x v="1"/>
  </r>
  <r>
    <x v="1727"/>
    <x v="16"/>
    <x v="2"/>
    <n v="58.1"/>
    <n v="174.3"/>
    <x v="63"/>
    <d v="2025-03-06T00:00:00"/>
    <s v="F"/>
    <x v="0"/>
    <x v="0"/>
    <x v="0"/>
    <x v="11"/>
    <x v="3"/>
    <x v="9"/>
    <x v="2"/>
  </r>
  <r>
    <x v="1728"/>
    <x v="12"/>
    <x v="12"/>
    <n v="66.599999999999994"/>
    <n v="266.39999999999998"/>
    <x v="63"/>
    <d v="2025-03-06T00:00:00"/>
    <s v=""/>
    <x v="0"/>
    <x v="0"/>
    <x v="0"/>
    <x v="11"/>
    <x v="3"/>
    <x v="9"/>
    <x v="0"/>
  </r>
  <r>
    <x v="1729"/>
    <x v="9"/>
    <x v="0"/>
    <n v="24.1"/>
    <n v="24.1"/>
    <x v="63"/>
    <d v="2025-03-08T00:00:00"/>
    <s v="M"/>
    <x v="2"/>
    <x v="1"/>
    <x v="0"/>
    <x v="19"/>
    <x v="2"/>
    <x v="9"/>
    <x v="1"/>
  </r>
  <r>
    <x v="1730"/>
    <x v="10"/>
    <x v="9"/>
    <n v="51.5"/>
    <n v="257.5"/>
    <x v="63"/>
    <d v="2025-03-10T00:00:00"/>
    <s v="F"/>
    <x v="0"/>
    <x v="0"/>
    <x v="0"/>
    <x v="13"/>
    <x v="0"/>
    <x v="9"/>
    <x v="2"/>
  </r>
  <r>
    <x v="1731"/>
    <x v="0"/>
    <x v="5"/>
    <n v="25.8"/>
    <n v="283.8"/>
    <x v="63"/>
    <d v="2025-03-09T00:00:00"/>
    <s v="F"/>
    <x v="3"/>
    <x v="4"/>
    <x v="0"/>
    <x v="21"/>
    <x v="5"/>
    <x v="9"/>
    <x v="2"/>
  </r>
  <r>
    <x v="1732"/>
    <x v="9"/>
    <x v="12"/>
    <n v="47.7"/>
    <n v="190.8"/>
    <x v="63"/>
    <d v="2025-03-05T00:00:00"/>
    <s v="F"/>
    <x v="0"/>
    <x v="1"/>
    <x v="0"/>
    <x v="21"/>
    <x v="7"/>
    <x v="9"/>
    <x v="2"/>
  </r>
  <r>
    <x v="1733"/>
    <x v="7"/>
    <x v="9"/>
    <n v="73.599999999999994"/>
    <n v="368"/>
    <x v="63"/>
    <d v="2025-03-09T00:00:00"/>
    <s v="M"/>
    <x v="1"/>
    <x v="0"/>
    <x v="0"/>
    <x v="21"/>
    <x v="5"/>
    <x v="9"/>
    <x v="1"/>
  </r>
  <r>
    <x v="1734"/>
    <x v="5"/>
    <x v="3"/>
    <n v="91.2"/>
    <n v="638.4"/>
    <x v="63"/>
    <d v="2025-03-06T00:00:00"/>
    <s v="M"/>
    <x v="1"/>
    <x v="2"/>
    <x v="0"/>
    <x v="21"/>
    <x v="3"/>
    <x v="9"/>
    <x v="1"/>
  </r>
  <r>
    <x v="1735"/>
    <x v="1"/>
    <x v="8"/>
    <n v="36.200000000000003"/>
    <n v="289.60000000000002"/>
    <x v="63"/>
    <d v="2025-03-05T00:00:00"/>
    <s v="M"/>
    <x v="2"/>
    <x v="2"/>
    <x v="0"/>
    <x v="1"/>
    <x v="7"/>
    <x v="9"/>
    <x v="1"/>
  </r>
  <r>
    <x v="1736"/>
    <x v="9"/>
    <x v="8"/>
    <n v="98"/>
    <n v="784"/>
    <x v="63"/>
    <d v="2025-03-09T00:00:00"/>
    <s v="F"/>
    <x v="2"/>
    <x v="0"/>
    <x v="0"/>
    <x v="2"/>
    <x v="5"/>
    <x v="9"/>
    <x v="2"/>
  </r>
  <r>
    <x v="1737"/>
    <x v="1"/>
    <x v="8"/>
    <n v="43.6"/>
    <n v="348.8"/>
    <x v="63"/>
    <d v="2025-03-06T00:00:00"/>
    <s v="F"/>
    <x v="2"/>
    <x v="0"/>
    <x v="0"/>
    <x v="22"/>
    <x v="3"/>
    <x v="9"/>
    <x v="2"/>
  </r>
  <r>
    <x v="1738"/>
    <x v="8"/>
    <x v="7"/>
    <n v="37.799999999999997"/>
    <n v="378"/>
    <x v="63"/>
    <d v="2025-03-05T00:00:00"/>
    <s v="O"/>
    <x v="0"/>
    <x v="0"/>
    <x v="0"/>
    <x v="50"/>
    <x v="7"/>
    <x v="9"/>
    <x v="3"/>
  </r>
  <r>
    <x v="1739"/>
    <x v="17"/>
    <x v="9"/>
    <n v="63.7"/>
    <n v="318.5"/>
    <x v="63"/>
    <d v="2025-03-08T00:00:00"/>
    <s v="F"/>
    <x v="2"/>
    <x v="1"/>
    <x v="0"/>
    <x v="3"/>
    <x v="2"/>
    <x v="9"/>
    <x v="2"/>
  </r>
  <r>
    <x v="1740"/>
    <x v="5"/>
    <x v="11"/>
    <n v="62.9"/>
    <n v="566.1"/>
    <x v="63"/>
    <d v="2025-03-10T00:00:00"/>
    <s v="M"/>
    <x v="3"/>
    <x v="2"/>
    <x v="0"/>
    <x v="3"/>
    <x v="0"/>
    <x v="9"/>
    <x v="1"/>
  </r>
  <r>
    <x v="1741"/>
    <x v="6"/>
    <x v="3"/>
    <n v="61.7"/>
    <n v="431.90000000000003"/>
    <x v="63"/>
    <d v="2025-03-08T00:00:00"/>
    <s v="F"/>
    <x v="2"/>
    <x v="2"/>
    <x v="0"/>
    <x v="3"/>
    <x v="2"/>
    <x v="9"/>
    <x v="2"/>
  </r>
  <r>
    <x v="1742"/>
    <x v="18"/>
    <x v="21"/>
    <n v="36.5"/>
    <n v="511"/>
    <x v="63"/>
    <d v="2025-03-06T00:00:00"/>
    <s v="M"/>
    <x v="0"/>
    <x v="2"/>
    <x v="0"/>
    <x v="3"/>
    <x v="3"/>
    <x v="9"/>
    <x v="1"/>
  </r>
  <r>
    <x v="1743"/>
    <x v="11"/>
    <x v="2"/>
    <n v="98.6"/>
    <n v="295.79999999999995"/>
    <x v="63"/>
    <d v="2025-03-08T00:00:00"/>
    <s v="O"/>
    <x v="0"/>
    <x v="4"/>
    <x v="0"/>
    <x v="3"/>
    <x v="2"/>
    <x v="9"/>
    <x v="3"/>
  </r>
  <r>
    <x v="1744"/>
    <x v="8"/>
    <x v="1"/>
    <n v="19.2"/>
    <n v="38.4"/>
    <x v="63"/>
    <d v="2025-03-15T00:00:00"/>
    <s v="M"/>
    <x v="0"/>
    <x v="0"/>
    <x v="0"/>
    <x v="3"/>
    <x v="14"/>
    <x v="9"/>
    <x v="1"/>
  </r>
  <r>
    <x v="1745"/>
    <x v="3"/>
    <x v="13"/>
    <n v="55.6"/>
    <n v="333.6"/>
    <x v="63"/>
    <d v="2025-03-09T00:00:00"/>
    <s v="F"/>
    <x v="0"/>
    <x v="2"/>
    <x v="0"/>
    <x v="3"/>
    <x v="5"/>
    <x v="9"/>
    <x v="2"/>
  </r>
  <r>
    <x v="1746"/>
    <x v="5"/>
    <x v="13"/>
    <n v="56.4"/>
    <n v="338.4"/>
    <x v="63"/>
    <d v="2025-03-06T00:00:00"/>
    <s v="F"/>
    <x v="1"/>
    <x v="0"/>
    <x v="0"/>
    <x v="3"/>
    <x v="3"/>
    <x v="9"/>
    <x v="2"/>
  </r>
  <r>
    <x v="1747"/>
    <x v="4"/>
    <x v="8"/>
    <n v="43.1"/>
    <n v="344.8"/>
    <x v="63"/>
    <d v="2025-03-09T00:00:00"/>
    <s v="F"/>
    <x v="4"/>
    <x v="0"/>
    <x v="0"/>
    <x v="3"/>
    <x v="5"/>
    <x v="9"/>
    <x v="2"/>
  </r>
  <r>
    <x v="1748"/>
    <x v="1"/>
    <x v="1"/>
    <n v="77.3"/>
    <n v="154.6"/>
    <x v="63"/>
    <d v="2025-03-07T00:00:00"/>
    <s v="M"/>
    <x v="0"/>
    <x v="0"/>
    <x v="0"/>
    <x v="6"/>
    <x v="1"/>
    <x v="9"/>
    <x v="1"/>
  </r>
  <r>
    <x v="1749"/>
    <x v="9"/>
    <x v="8"/>
    <n v="38.299999999999997"/>
    <n v="306.39999999999998"/>
    <x v="63"/>
    <d v="2025-03-06T00:00:00"/>
    <s v="M"/>
    <x v="0"/>
    <x v="0"/>
    <x v="0"/>
    <x v="7"/>
    <x v="3"/>
    <x v="9"/>
    <x v="1"/>
  </r>
  <r>
    <x v="1750"/>
    <x v="0"/>
    <x v="3"/>
    <n v="16.8"/>
    <n v="117.60000000000001"/>
    <x v="63"/>
    <d v="2025-03-08T00:00:00"/>
    <s v="M"/>
    <x v="2"/>
    <x v="1"/>
    <x v="0"/>
    <x v="8"/>
    <x v="2"/>
    <x v="9"/>
    <x v="1"/>
  </r>
  <r>
    <x v="1751"/>
    <x v="2"/>
    <x v="2"/>
    <n v="63.2"/>
    <n v="189.60000000000002"/>
    <x v="63"/>
    <d v="2025-03-06T00:00:00"/>
    <s v="F"/>
    <x v="0"/>
    <x v="2"/>
    <x v="0"/>
    <x v="8"/>
    <x v="3"/>
    <x v="9"/>
    <x v="2"/>
  </r>
  <r>
    <x v="1752"/>
    <x v="14"/>
    <x v="44"/>
    <n v="39.700000000000003"/>
    <n v="913.1"/>
    <x v="63"/>
    <d v="2025-03-06T00:00:00"/>
    <s v="M"/>
    <x v="0"/>
    <x v="0"/>
    <x v="0"/>
    <x v="8"/>
    <x v="3"/>
    <x v="9"/>
    <x v="1"/>
  </r>
  <r>
    <x v="1753"/>
    <x v="10"/>
    <x v="2"/>
    <n v="45.8"/>
    <n v="137.39999999999998"/>
    <x v="63"/>
    <d v="2025-03-06T00:00:00"/>
    <s v="F"/>
    <x v="1"/>
    <x v="2"/>
    <x v="0"/>
    <x v="8"/>
    <x v="3"/>
    <x v="9"/>
    <x v="2"/>
  </r>
  <r>
    <x v="1754"/>
    <x v="0"/>
    <x v="13"/>
    <n v="12.4"/>
    <n v="74.400000000000006"/>
    <x v="63"/>
    <d v="2025-03-08T00:00:00"/>
    <s v="M"/>
    <x v="0"/>
    <x v="0"/>
    <x v="0"/>
    <x v="8"/>
    <x v="2"/>
    <x v="9"/>
    <x v="1"/>
  </r>
  <r>
    <x v="1755"/>
    <x v="14"/>
    <x v="2"/>
    <n v="50.8"/>
    <n v="152.39999999999998"/>
    <x v="64"/>
    <d v="2025-03-06T00:00:00"/>
    <s v="F"/>
    <x v="4"/>
    <x v="0"/>
    <x v="0"/>
    <x v="17"/>
    <x v="7"/>
    <x v="9"/>
    <x v="2"/>
  </r>
  <r>
    <x v="1756"/>
    <x v="9"/>
    <x v="0"/>
    <n v="76"/>
    <n v="76"/>
    <x v="64"/>
    <d v="2025-03-10T00:00:00"/>
    <s v="O"/>
    <x v="2"/>
    <x v="2"/>
    <x v="0"/>
    <x v="17"/>
    <x v="5"/>
    <x v="9"/>
    <x v="3"/>
  </r>
  <r>
    <x v="1757"/>
    <x v="1"/>
    <x v="1"/>
    <n v="51.9"/>
    <n v="103.8"/>
    <x v="64"/>
    <d v="2025-03-07T00:00:00"/>
    <s v="M"/>
    <x v="1"/>
    <x v="2"/>
    <x v="0"/>
    <x v="26"/>
    <x v="3"/>
    <x v="9"/>
    <x v="1"/>
  </r>
  <r>
    <x v="1758"/>
    <x v="2"/>
    <x v="1"/>
    <n v="93.4"/>
    <n v="186.8"/>
    <x v="64"/>
    <d v="2025-03-13T00:00:00"/>
    <s v="M"/>
    <x v="0"/>
    <x v="3"/>
    <x v="0"/>
    <x v="11"/>
    <x v="6"/>
    <x v="9"/>
    <x v="1"/>
  </r>
  <r>
    <x v="1759"/>
    <x v="7"/>
    <x v="13"/>
    <n v="30.8"/>
    <n v="184.8"/>
    <x v="64"/>
    <d v="2025-03-09T00:00:00"/>
    <s v="F"/>
    <x v="1"/>
    <x v="0"/>
    <x v="0"/>
    <x v="11"/>
    <x v="2"/>
    <x v="9"/>
    <x v="2"/>
  </r>
  <r>
    <x v="1760"/>
    <x v="2"/>
    <x v="0"/>
    <n v="143.19999999999999"/>
    <n v="143.19999999999999"/>
    <x v="64"/>
    <d v="2025-03-09T00:00:00"/>
    <s v="M"/>
    <x v="2"/>
    <x v="0"/>
    <x v="0"/>
    <x v="11"/>
    <x v="2"/>
    <x v="9"/>
    <x v="1"/>
  </r>
  <r>
    <x v="1761"/>
    <x v="6"/>
    <x v="5"/>
    <n v="40.4"/>
    <n v="444.4"/>
    <x v="64"/>
    <d v="2025-03-08T00:00:00"/>
    <s v="M"/>
    <x v="2"/>
    <x v="2"/>
    <x v="0"/>
    <x v="18"/>
    <x v="1"/>
    <x v="9"/>
    <x v="1"/>
  </r>
  <r>
    <x v="1762"/>
    <x v="2"/>
    <x v="10"/>
    <n v="131.5"/>
    <n v="2498.5"/>
    <x v="64"/>
    <d v="2025-03-08T00:00:00"/>
    <s v="M"/>
    <x v="1"/>
    <x v="1"/>
    <x v="0"/>
    <x v="18"/>
    <x v="1"/>
    <x v="9"/>
    <x v="1"/>
  </r>
  <r>
    <x v="1763"/>
    <x v="18"/>
    <x v="3"/>
    <n v="61.6"/>
    <n v="431.2"/>
    <x v="64"/>
    <d v="2025-03-07T00:00:00"/>
    <s v="M"/>
    <x v="2"/>
    <x v="0"/>
    <x v="0"/>
    <x v="21"/>
    <x v="3"/>
    <x v="9"/>
    <x v="1"/>
  </r>
  <r>
    <x v="1764"/>
    <x v="9"/>
    <x v="9"/>
    <n v="32.700000000000003"/>
    <n v="163.5"/>
    <x v="64"/>
    <d v="2025-03-08T00:00:00"/>
    <s v="M"/>
    <x v="2"/>
    <x v="0"/>
    <x v="0"/>
    <x v="1"/>
    <x v="1"/>
    <x v="9"/>
    <x v="1"/>
  </r>
  <r>
    <x v="1765"/>
    <x v="0"/>
    <x v="7"/>
    <n v="13.7"/>
    <n v="137"/>
    <x v="64"/>
    <d v="2025-03-07T00:00:00"/>
    <s v="M"/>
    <x v="0"/>
    <x v="2"/>
    <x v="0"/>
    <x v="3"/>
    <x v="3"/>
    <x v="9"/>
    <x v="1"/>
  </r>
  <r>
    <x v="1766"/>
    <x v="0"/>
    <x v="12"/>
    <n v="32.1"/>
    <n v="128.4"/>
    <x v="64"/>
    <d v="2025-03-07T00:00:00"/>
    <s v="M"/>
    <x v="4"/>
    <x v="1"/>
    <x v="0"/>
    <x v="3"/>
    <x v="3"/>
    <x v="9"/>
    <x v="1"/>
  </r>
  <r>
    <x v="1767"/>
    <x v="14"/>
    <x v="8"/>
    <n v="12"/>
    <n v="96"/>
    <x v="64"/>
    <d v="2025-03-07T00:00:00"/>
    <s v="M"/>
    <x v="1"/>
    <x v="0"/>
    <x v="0"/>
    <x v="24"/>
    <x v="3"/>
    <x v="9"/>
    <x v="1"/>
  </r>
  <r>
    <x v="1768"/>
    <x v="12"/>
    <x v="0"/>
    <n v="64.3"/>
    <n v="64.3"/>
    <x v="64"/>
    <d v="2025-03-08T00:00:00"/>
    <s v="F"/>
    <x v="2"/>
    <x v="2"/>
    <x v="0"/>
    <x v="6"/>
    <x v="1"/>
    <x v="9"/>
    <x v="2"/>
  </r>
  <r>
    <x v="1769"/>
    <x v="1"/>
    <x v="2"/>
    <n v="58.2"/>
    <n v="174.60000000000002"/>
    <x v="64"/>
    <d v="2025-03-08T00:00:00"/>
    <s v="F"/>
    <x v="1"/>
    <x v="2"/>
    <x v="0"/>
    <x v="6"/>
    <x v="1"/>
    <x v="9"/>
    <x v="2"/>
  </r>
  <r>
    <x v="1770"/>
    <x v="6"/>
    <x v="12"/>
    <n v="59.2"/>
    <n v="236.8"/>
    <x v="64"/>
    <d v="2025-03-06T00:00:00"/>
    <s v="M"/>
    <x v="1"/>
    <x v="2"/>
    <x v="0"/>
    <x v="6"/>
    <x v="7"/>
    <x v="9"/>
    <x v="1"/>
  </r>
  <r>
    <x v="1771"/>
    <x v="10"/>
    <x v="5"/>
    <n v="35.6"/>
    <n v="391.6"/>
    <x v="64"/>
    <d v="2025-03-13T00:00:00"/>
    <s v="M"/>
    <x v="0"/>
    <x v="2"/>
    <x v="0"/>
    <x v="8"/>
    <x v="6"/>
    <x v="9"/>
    <x v="1"/>
  </r>
  <r>
    <x v="1772"/>
    <x v="16"/>
    <x v="8"/>
    <n v="37"/>
    <n v="296"/>
    <x v="64"/>
    <d v="2025-03-10T00:00:00"/>
    <s v="F"/>
    <x v="2"/>
    <x v="1"/>
    <x v="0"/>
    <x v="8"/>
    <x v="5"/>
    <x v="9"/>
    <x v="2"/>
  </r>
  <r>
    <x v="1773"/>
    <x v="1"/>
    <x v="15"/>
    <n v="80.8"/>
    <n v="1050.3999999999999"/>
    <x v="64"/>
    <d v="2025-03-08T00:00:00"/>
    <s v="F"/>
    <x v="0"/>
    <x v="0"/>
    <x v="0"/>
    <x v="8"/>
    <x v="1"/>
    <x v="9"/>
    <x v="2"/>
  </r>
  <r>
    <x v="1774"/>
    <x v="8"/>
    <x v="1"/>
    <n v="63.2"/>
    <n v="126.4"/>
    <x v="64"/>
    <d v="2025-03-07T00:00:00"/>
    <s v="M"/>
    <x v="0"/>
    <x v="1"/>
    <x v="0"/>
    <x v="8"/>
    <x v="3"/>
    <x v="9"/>
    <x v="1"/>
  </r>
  <r>
    <x v="1775"/>
    <x v="3"/>
    <x v="1"/>
    <n v="40.799999999999997"/>
    <n v="81.599999999999994"/>
    <x v="64"/>
    <d v="2025-03-08T00:00:00"/>
    <s v="M"/>
    <x v="0"/>
    <x v="1"/>
    <x v="0"/>
    <x v="17"/>
    <x v="1"/>
    <x v="9"/>
    <x v="1"/>
  </r>
  <r>
    <x v="1776"/>
    <x v="13"/>
    <x v="13"/>
    <n v="25.7"/>
    <n v="154.19999999999999"/>
    <x v="64"/>
    <d v="2025-03-08T00:00:00"/>
    <s v="M"/>
    <x v="4"/>
    <x v="0"/>
    <x v="0"/>
    <x v="18"/>
    <x v="1"/>
    <x v="9"/>
    <x v="1"/>
  </r>
  <r>
    <x v="1777"/>
    <x v="16"/>
    <x v="1"/>
    <n v="49.9"/>
    <n v="99.8"/>
    <x v="64"/>
    <d v="2025-03-09T00:00:00"/>
    <s v="M"/>
    <x v="0"/>
    <x v="0"/>
    <x v="0"/>
    <x v="20"/>
    <x v="2"/>
    <x v="9"/>
    <x v="1"/>
  </r>
  <r>
    <x v="1778"/>
    <x v="8"/>
    <x v="1"/>
    <n v="20.2"/>
    <n v="40.4"/>
    <x v="64"/>
    <d v="2025-03-08T00:00:00"/>
    <s v="F"/>
    <x v="3"/>
    <x v="0"/>
    <x v="0"/>
    <x v="21"/>
    <x v="1"/>
    <x v="9"/>
    <x v="2"/>
  </r>
  <r>
    <x v="1779"/>
    <x v="6"/>
    <x v="2"/>
    <n v="48.4"/>
    <n v="145.19999999999999"/>
    <x v="64"/>
    <d v="2025-03-11T00:00:00"/>
    <s v="F"/>
    <x v="0"/>
    <x v="2"/>
    <x v="0"/>
    <x v="21"/>
    <x v="0"/>
    <x v="9"/>
    <x v="2"/>
  </r>
  <r>
    <x v="1780"/>
    <x v="6"/>
    <x v="1"/>
    <n v="81"/>
    <n v="162"/>
    <x v="64"/>
    <d v="2025-03-07T00:00:00"/>
    <s v="F"/>
    <x v="1"/>
    <x v="2"/>
    <x v="0"/>
    <x v="21"/>
    <x v="3"/>
    <x v="9"/>
    <x v="2"/>
  </r>
  <r>
    <x v="1781"/>
    <x v="8"/>
    <x v="13"/>
    <n v="19.899999999999999"/>
    <n v="119.39999999999999"/>
    <x v="64"/>
    <d v="2025-03-09T00:00:00"/>
    <s v="F"/>
    <x v="0"/>
    <x v="1"/>
    <x v="0"/>
    <x v="22"/>
    <x v="2"/>
    <x v="9"/>
    <x v="2"/>
  </r>
  <r>
    <x v="1782"/>
    <x v="4"/>
    <x v="12"/>
    <n v="32.200000000000003"/>
    <n v="128.80000000000001"/>
    <x v="64"/>
    <d v="2025-03-16T00:00:00"/>
    <s v="M"/>
    <x v="0"/>
    <x v="0"/>
    <x v="0"/>
    <x v="22"/>
    <x v="14"/>
    <x v="9"/>
    <x v="1"/>
  </r>
  <r>
    <x v="1783"/>
    <x v="5"/>
    <x v="2"/>
    <n v="76.8"/>
    <n v="230.39999999999998"/>
    <x v="64"/>
    <d v="2025-03-07T00:00:00"/>
    <s v="F"/>
    <x v="0"/>
    <x v="1"/>
    <x v="0"/>
    <x v="3"/>
    <x v="3"/>
    <x v="9"/>
    <x v="2"/>
  </r>
  <r>
    <x v="1784"/>
    <x v="6"/>
    <x v="1"/>
    <n v="41.9"/>
    <n v="83.8"/>
    <x v="64"/>
    <d v="2025-03-08T00:00:00"/>
    <s v="F"/>
    <x v="0"/>
    <x v="0"/>
    <x v="0"/>
    <x v="3"/>
    <x v="1"/>
    <x v="9"/>
    <x v="2"/>
  </r>
  <r>
    <x v="1785"/>
    <x v="0"/>
    <x v="3"/>
    <n v="34"/>
    <n v="238"/>
    <x v="64"/>
    <d v="2025-03-08T00:00:00"/>
    <s v="F"/>
    <x v="1"/>
    <x v="2"/>
    <x v="0"/>
    <x v="3"/>
    <x v="1"/>
    <x v="9"/>
    <x v="2"/>
  </r>
  <r>
    <x v="1786"/>
    <x v="7"/>
    <x v="3"/>
    <n v="61.3"/>
    <n v="429.09999999999997"/>
    <x v="64"/>
    <d v="2025-03-06T00:00:00"/>
    <s v="F"/>
    <x v="4"/>
    <x v="2"/>
    <x v="0"/>
    <x v="3"/>
    <x v="7"/>
    <x v="9"/>
    <x v="2"/>
  </r>
  <r>
    <x v="1787"/>
    <x v="9"/>
    <x v="0"/>
    <n v="54.7"/>
    <n v="54.7"/>
    <x v="65"/>
    <d v="2025-03-08T00:00:00"/>
    <s v="M"/>
    <x v="0"/>
    <x v="1"/>
    <x v="0"/>
    <x v="3"/>
    <x v="3"/>
    <x v="9"/>
    <x v="1"/>
  </r>
  <r>
    <x v="1788"/>
    <x v="6"/>
    <x v="7"/>
    <n v="84.7"/>
    <n v="847"/>
    <x v="65"/>
    <d v="2025-03-11T00:00:00"/>
    <s v="F"/>
    <x v="0"/>
    <x v="0"/>
    <x v="0"/>
    <x v="3"/>
    <x v="5"/>
    <x v="9"/>
    <x v="2"/>
  </r>
  <r>
    <x v="1789"/>
    <x v="1"/>
    <x v="2"/>
    <n v="93.4"/>
    <n v="280.20000000000005"/>
    <x v="65"/>
    <d v="2025-03-11T00:00:00"/>
    <s v="F"/>
    <x v="3"/>
    <x v="0"/>
    <x v="0"/>
    <x v="3"/>
    <x v="5"/>
    <x v="9"/>
    <x v="2"/>
  </r>
  <r>
    <x v="1790"/>
    <x v="8"/>
    <x v="9"/>
    <n v="27"/>
    <n v="135"/>
    <x v="65"/>
    <d v="2025-03-10T00:00:00"/>
    <s v="M"/>
    <x v="0"/>
    <x v="1"/>
    <x v="0"/>
    <x v="3"/>
    <x v="2"/>
    <x v="9"/>
    <x v="1"/>
  </r>
  <r>
    <x v="1791"/>
    <x v="0"/>
    <x v="12"/>
    <n v="10.9"/>
    <n v="43.6"/>
    <x v="65"/>
    <d v="2025-03-08T00:00:00"/>
    <s v="M"/>
    <x v="2"/>
    <x v="0"/>
    <x v="0"/>
    <x v="3"/>
    <x v="3"/>
    <x v="9"/>
    <x v="1"/>
  </r>
  <r>
    <x v="1792"/>
    <x v="16"/>
    <x v="2"/>
    <n v="48"/>
    <n v="144"/>
    <x v="65"/>
    <d v="2025-03-12T00:00:00"/>
    <s v="F"/>
    <x v="4"/>
    <x v="0"/>
    <x v="0"/>
    <x v="3"/>
    <x v="0"/>
    <x v="9"/>
    <x v="2"/>
  </r>
  <r>
    <x v="1793"/>
    <x v="5"/>
    <x v="1"/>
    <n v="67.900000000000006"/>
    <n v="135.80000000000001"/>
    <x v="65"/>
    <d v="2025-03-08T00:00:00"/>
    <s v="M"/>
    <x v="0"/>
    <x v="2"/>
    <x v="0"/>
    <x v="23"/>
    <x v="3"/>
    <x v="9"/>
    <x v="1"/>
  </r>
  <r>
    <x v="1794"/>
    <x v="4"/>
    <x v="2"/>
    <n v="36"/>
    <n v="108"/>
    <x v="65"/>
    <d v="2025-03-08T00:00:00"/>
    <s v="M"/>
    <x v="1"/>
    <x v="0"/>
    <x v="0"/>
    <x v="6"/>
    <x v="3"/>
    <x v="9"/>
    <x v="1"/>
  </r>
  <r>
    <x v="1795"/>
    <x v="2"/>
    <x v="0"/>
    <n v="128.80000000000001"/>
    <n v="128.80000000000001"/>
    <x v="65"/>
    <d v="2025-03-08T00:00:00"/>
    <s v="M"/>
    <x v="4"/>
    <x v="2"/>
    <x v="0"/>
    <x v="6"/>
    <x v="3"/>
    <x v="9"/>
    <x v="1"/>
  </r>
  <r>
    <x v="1796"/>
    <x v="18"/>
    <x v="3"/>
    <n v="33.299999999999997"/>
    <n v="233.09999999999997"/>
    <x v="65"/>
    <d v="2025-03-08T00:00:00"/>
    <s v="F"/>
    <x v="3"/>
    <x v="0"/>
    <x v="0"/>
    <x v="8"/>
    <x v="3"/>
    <x v="9"/>
    <x v="2"/>
  </r>
  <r>
    <x v="1797"/>
    <x v="10"/>
    <x v="2"/>
    <n v="37.799999999999997"/>
    <n v="113.39999999999999"/>
    <x v="65"/>
    <d v="2025-03-09T00:00:00"/>
    <s v="M"/>
    <x v="1"/>
    <x v="2"/>
    <x v="0"/>
    <x v="8"/>
    <x v="1"/>
    <x v="9"/>
    <x v="1"/>
  </r>
  <r>
    <x v="1798"/>
    <x v="5"/>
    <x v="2"/>
    <n v="26"/>
    <n v="78"/>
    <x v="65"/>
    <d v="2025-03-12T00:00:00"/>
    <s v="F"/>
    <x v="0"/>
    <x v="0"/>
    <x v="0"/>
    <x v="8"/>
    <x v="0"/>
    <x v="9"/>
    <x v="2"/>
  </r>
  <r>
    <x v="1799"/>
    <x v="8"/>
    <x v="10"/>
    <n v="28.3"/>
    <n v="537.70000000000005"/>
    <x v="65"/>
    <d v="2025-03-08T00:00:00"/>
    <s v="F"/>
    <x v="3"/>
    <x v="4"/>
    <x v="0"/>
    <x v="8"/>
    <x v="3"/>
    <x v="9"/>
    <x v="2"/>
  </r>
  <r>
    <x v="1800"/>
    <x v="8"/>
    <x v="12"/>
    <n v="31.3"/>
    <n v="125.2"/>
    <x v="65"/>
    <d v="2025-03-07T00:00:00"/>
    <s v="F"/>
    <x v="0"/>
    <x v="0"/>
    <x v="0"/>
    <x v="8"/>
    <x v="7"/>
    <x v="9"/>
    <x v="2"/>
  </r>
  <r>
    <x v="1801"/>
    <x v="7"/>
    <x v="2"/>
    <n v="69.5"/>
    <n v="208.5"/>
    <x v="65"/>
    <d v="2025-03-08T00:00:00"/>
    <s v="F"/>
    <x v="3"/>
    <x v="2"/>
    <x v="0"/>
    <x v="8"/>
    <x v="3"/>
    <x v="9"/>
    <x v="2"/>
  </r>
  <r>
    <x v="1802"/>
    <x v="0"/>
    <x v="1"/>
    <n v="16.7"/>
    <n v="33.4"/>
    <x v="65"/>
    <d v="2025-03-08T00:00:00"/>
    <s v="F"/>
    <x v="3"/>
    <x v="1"/>
    <x v="0"/>
    <x v="8"/>
    <x v="3"/>
    <x v="9"/>
    <x v="2"/>
  </r>
  <r>
    <x v="1803"/>
    <x v="9"/>
    <x v="1"/>
    <n v="62.6"/>
    <n v="125.2"/>
    <x v="65"/>
    <d v="2025-03-08T00:00:00"/>
    <s v="M"/>
    <x v="2"/>
    <x v="2"/>
    <x v="0"/>
    <x v="9"/>
    <x v="3"/>
    <x v="9"/>
    <x v="1"/>
  </r>
  <r>
    <x v="1804"/>
    <x v="7"/>
    <x v="0"/>
    <n v="81.2"/>
    <n v="81.2"/>
    <x v="65"/>
    <d v="2025-03-13T00:00:00"/>
    <s v="M"/>
    <x v="4"/>
    <x v="4"/>
    <x v="0"/>
    <x v="9"/>
    <x v="4"/>
    <x v="9"/>
    <x v="1"/>
  </r>
  <r>
    <x v="1805"/>
    <x v="0"/>
    <x v="7"/>
    <n v="12.7"/>
    <n v="127"/>
    <x v="65"/>
    <d v="2025-03-08T00:00:00"/>
    <s v="F"/>
    <x v="0"/>
    <x v="2"/>
    <x v="0"/>
    <x v="9"/>
    <x v="3"/>
    <x v="9"/>
    <x v="2"/>
  </r>
  <r>
    <x v="1806"/>
    <x v="7"/>
    <x v="12"/>
    <n v="77.7"/>
    <n v="310.8"/>
    <x v="66"/>
    <d v="2025-03-12T00:00:00"/>
    <s v="M"/>
    <x v="1"/>
    <x v="0"/>
    <x v="0"/>
    <x v="11"/>
    <x v="5"/>
    <x v="9"/>
    <x v="1"/>
  </r>
  <r>
    <x v="1807"/>
    <x v="5"/>
    <x v="1"/>
    <n v="37.299999999999997"/>
    <n v="74.599999999999994"/>
    <x v="66"/>
    <d v="2025-03-09T00:00:00"/>
    <s v="F"/>
    <x v="0"/>
    <x v="2"/>
    <x v="0"/>
    <x v="18"/>
    <x v="3"/>
    <x v="9"/>
    <x v="2"/>
  </r>
  <r>
    <x v="1808"/>
    <x v="10"/>
    <x v="12"/>
    <n v="35.6"/>
    <n v="142.4"/>
    <x v="66"/>
    <d v="2025-03-10T00:00:00"/>
    <s v="F"/>
    <x v="1"/>
    <x v="1"/>
    <x v="0"/>
    <x v="19"/>
    <x v="1"/>
    <x v="9"/>
    <x v="2"/>
  </r>
  <r>
    <x v="1809"/>
    <x v="2"/>
    <x v="2"/>
    <n v="95"/>
    <n v="285"/>
    <x v="66"/>
    <d v="2025-03-12T00:00:00"/>
    <s v="F"/>
    <x v="2"/>
    <x v="2"/>
    <x v="0"/>
    <x v="56"/>
    <x v="5"/>
    <x v="9"/>
    <x v="2"/>
  </r>
  <r>
    <x v="1810"/>
    <x v="2"/>
    <x v="12"/>
    <n v="172.1"/>
    <n v="688.4"/>
    <x v="66"/>
    <d v="2025-03-12T00:00:00"/>
    <s v="O"/>
    <x v="2"/>
    <x v="2"/>
    <x v="0"/>
    <x v="21"/>
    <x v="5"/>
    <x v="9"/>
    <x v="3"/>
  </r>
  <r>
    <x v="1811"/>
    <x v="2"/>
    <x v="1"/>
    <n v="233"/>
    <n v="466"/>
    <x v="66"/>
    <d v="2025-03-11T00:00:00"/>
    <s v="F"/>
    <x v="1"/>
    <x v="0"/>
    <x v="0"/>
    <x v="21"/>
    <x v="2"/>
    <x v="9"/>
    <x v="2"/>
  </r>
  <r>
    <x v="1812"/>
    <x v="0"/>
    <x v="0"/>
    <n v="43.5"/>
    <n v="43.5"/>
    <x v="66"/>
    <d v="2025-03-09T00:00:00"/>
    <s v="F"/>
    <x v="2"/>
    <x v="2"/>
    <x v="0"/>
    <x v="21"/>
    <x v="3"/>
    <x v="9"/>
    <x v="2"/>
  </r>
  <r>
    <x v="1813"/>
    <x v="9"/>
    <x v="1"/>
    <n v="47.8"/>
    <n v="95.6"/>
    <x v="66"/>
    <d v="2025-03-11T00:00:00"/>
    <s v="M"/>
    <x v="4"/>
    <x v="2"/>
    <x v="0"/>
    <x v="1"/>
    <x v="2"/>
    <x v="9"/>
    <x v="1"/>
  </r>
  <r>
    <x v="1814"/>
    <x v="12"/>
    <x v="1"/>
    <n v="65.8"/>
    <n v="131.6"/>
    <x v="66"/>
    <d v="2025-03-10T00:00:00"/>
    <s v="F"/>
    <x v="0"/>
    <x v="3"/>
    <x v="0"/>
    <x v="33"/>
    <x v="1"/>
    <x v="9"/>
    <x v="2"/>
  </r>
  <r>
    <x v="1815"/>
    <x v="15"/>
    <x v="5"/>
    <n v="38.700000000000003"/>
    <n v="425.70000000000005"/>
    <x v="66"/>
    <d v="2025-03-08T00:00:00"/>
    <s v="M"/>
    <x v="0"/>
    <x v="0"/>
    <x v="0"/>
    <x v="22"/>
    <x v="7"/>
    <x v="9"/>
    <x v="1"/>
  </r>
  <r>
    <x v="1816"/>
    <x v="3"/>
    <x v="12"/>
    <n v="55.7"/>
    <n v="222.8"/>
    <x v="66"/>
    <d v="2025-03-10T00:00:00"/>
    <s v="O"/>
    <x v="0"/>
    <x v="1"/>
    <x v="0"/>
    <x v="22"/>
    <x v="1"/>
    <x v="9"/>
    <x v="3"/>
  </r>
  <r>
    <x v="1817"/>
    <x v="7"/>
    <x v="1"/>
    <n v="102.4"/>
    <n v="204.8"/>
    <x v="66"/>
    <d v="2025-03-08T00:00:00"/>
    <s v="F"/>
    <x v="1"/>
    <x v="0"/>
    <x v="0"/>
    <x v="3"/>
    <x v="7"/>
    <x v="9"/>
    <x v="2"/>
  </r>
  <r>
    <x v="1818"/>
    <x v="1"/>
    <x v="0"/>
    <n v="92"/>
    <n v="92"/>
    <x v="66"/>
    <d v="2025-03-12T00:00:00"/>
    <s v=""/>
    <x v="2"/>
    <x v="0"/>
    <x v="0"/>
    <x v="3"/>
    <x v="5"/>
    <x v="9"/>
    <x v="0"/>
  </r>
  <r>
    <x v="1819"/>
    <x v="6"/>
    <x v="12"/>
    <n v="75.900000000000006"/>
    <n v="303.60000000000002"/>
    <x v="66"/>
    <d v="2025-03-10T00:00:00"/>
    <s v="F"/>
    <x v="1"/>
    <x v="0"/>
    <x v="0"/>
    <x v="3"/>
    <x v="1"/>
    <x v="9"/>
    <x v="2"/>
  </r>
  <r>
    <x v="1820"/>
    <x v="1"/>
    <x v="12"/>
    <n v="36.200000000000003"/>
    <n v="144.80000000000001"/>
    <x v="66"/>
    <d v="2025-03-09T00:00:00"/>
    <s v="F"/>
    <x v="1"/>
    <x v="0"/>
    <x v="0"/>
    <x v="3"/>
    <x v="3"/>
    <x v="9"/>
    <x v="2"/>
  </r>
  <r>
    <x v="1821"/>
    <x v="6"/>
    <x v="45"/>
    <n v="83.5"/>
    <n v="7264.5"/>
    <x v="66"/>
    <d v="2025-03-10T00:00:00"/>
    <s v=""/>
    <x v="3"/>
    <x v="0"/>
    <x v="0"/>
    <x v="3"/>
    <x v="1"/>
    <x v="9"/>
    <x v="0"/>
  </r>
  <r>
    <x v="1822"/>
    <x v="19"/>
    <x v="4"/>
    <n v="52.4"/>
    <n v="628.79999999999995"/>
    <x v="66"/>
    <d v="2025-03-08T00:00:00"/>
    <s v="M"/>
    <x v="2"/>
    <x v="0"/>
    <x v="0"/>
    <x v="3"/>
    <x v="7"/>
    <x v="9"/>
    <x v="1"/>
  </r>
  <r>
    <x v="1823"/>
    <x v="12"/>
    <x v="2"/>
    <n v="69.5"/>
    <n v="208.5"/>
    <x v="66"/>
    <d v="2025-03-09T00:00:00"/>
    <s v="O"/>
    <x v="4"/>
    <x v="0"/>
    <x v="0"/>
    <x v="3"/>
    <x v="3"/>
    <x v="9"/>
    <x v="3"/>
  </r>
  <r>
    <x v="1824"/>
    <x v="0"/>
    <x v="0"/>
    <n v="15.5"/>
    <n v="15.5"/>
    <x v="66"/>
    <d v="2025-03-10T00:00:00"/>
    <s v="M"/>
    <x v="0"/>
    <x v="0"/>
    <x v="0"/>
    <x v="3"/>
    <x v="1"/>
    <x v="9"/>
    <x v="1"/>
  </r>
  <r>
    <x v="1825"/>
    <x v="4"/>
    <x v="12"/>
    <n v="35.200000000000003"/>
    <n v="140.80000000000001"/>
    <x v="66"/>
    <d v="2025-03-09T00:00:00"/>
    <s v="F"/>
    <x v="2"/>
    <x v="2"/>
    <x v="0"/>
    <x v="3"/>
    <x v="3"/>
    <x v="9"/>
    <x v="2"/>
  </r>
  <r>
    <x v="1826"/>
    <x v="8"/>
    <x v="13"/>
    <n v="34.6"/>
    <n v="207.60000000000002"/>
    <x v="66"/>
    <d v="2025-03-09T00:00:00"/>
    <s v=""/>
    <x v="0"/>
    <x v="1"/>
    <x v="0"/>
    <x v="3"/>
    <x v="3"/>
    <x v="9"/>
    <x v="0"/>
  </r>
  <r>
    <x v="1827"/>
    <x v="4"/>
    <x v="0"/>
    <n v="21.3"/>
    <n v="21.3"/>
    <x v="67"/>
    <d v="2025-03-10T00:00:00"/>
    <s v="M"/>
    <x v="2"/>
    <x v="1"/>
    <x v="0"/>
    <x v="3"/>
    <x v="3"/>
    <x v="10"/>
    <x v="1"/>
  </r>
  <r>
    <x v="1828"/>
    <x v="6"/>
    <x v="1"/>
    <n v="136.5"/>
    <n v="273"/>
    <x v="67"/>
    <d v="2025-03-15T00:00:00"/>
    <s v="F"/>
    <x v="0"/>
    <x v="0"/>
    <x v="0"/>
    <x v="37"/>
    <x v="4"/>
    <x v="10"/>
    <x v="2"/>
  </r>
  <r>
    <x v="1829"/>
    <x v="9"/>
    <x v="3"/>
    <n v="30.7"/>
    <n v="214.9"/>
    <x v="67"/>
    <d v="2025-03-10T00:00:00"/>
    <s v="M"/>
    <x v="2"/>
    <x v="2"/>
    <x v="0"/>
    <x v="25"/>
    <x v="3"/>
    <x v="10"/>
    <x v="1"/>
  </r>
  <r>
    <x v="1830"/>
    <x v="1"/>
    <x v="1"/>
    <n v="61.6"/>
    <n v="123.2"/>
    <x v="67"/>
    <d v="2025-03-10T00:00:00"/>
    <s v="F"/>
    <x v="2"/>
    <x v="2"/>
    <x v="0"/>
    <x v="23"/>
    <x v="3"/>
    <x v="10"/>
    <x v="2"/>
  </r>
  <r>
    <x v="1831"/>
    <x v="6"/>
    <x v="12"/>
    <n v="54.3"/>
    <n v="217.2"/>
    <x v="67"/>
    <d v="2025-03-11T00:00:00"/>
    <s v=""/>
    <x v="4"/>
    <x v="0"/>
    <x v="0"/>
    <x v="7"/>
    <x v="1"/>
    <x v="10"/>
    <x v="0"/>
  </r>
  <r>
    <x v="1832"/>
    <x v="1"/>
    <x v="1"/>
    <n v="44.1"/>
    <n v="88.2"/>
    <x v="67"/>
    <d v="2025-03-21T00:00:00"/>
    <s v="F"/>
    <x v="0"/>
    <x v="2"/>
    <x v="0"/>
    <x v="8"/>
    <x v="13"/>
    <x v="10"/>
    <x v="2"/>
  </r>
  <r>
    <x v="1833"/>
    <x v="8"/>
    <x v="12"/>
    <n v="43.5"/>
    <n v="174"/>
    <x v="67"/>
    <d v="2025-03-15T00:00:00"/>
    <s v="M"/>
    <x v="3"/>
    <x v="0"/>
    <x v="0"/>
    <x v="8"/>
    <x v="4"/>
    <x v="10"/>
    <x v="1"/>
  </r>
  <r>
    <x v="1834"/>
    <x v="8"/>
    <x v="2"/>
    <n v="48.2"/>
    <n v="144.60000000000002"/>
    <x v="67"/>
    <d v="2025-03-13T00:00:00"/>
    <s v="M"/>
    <x v="3"/>
    <x v="1"/>
    <x v="0"/>
    <x v="8"/>
    <x v="5"/>
    <x v="10"/>
    <x v="1"/>
  </r>
  <r>
    <x v="1835"/>
    <x v="19"/>
    <x v="0"/>
    <n v="13.7"/>
    <n v="13.7"/>
    <x v="67"/>
    <d v="2025-03-10T00:00:00"/>
    <s v="F"/>
    <x v="2"/>
    <x v="2"/>
    <x v="0"/>
    <x v="8"/>
    <x v="3"/>
    <x v="10"/>
    <x v="2"/>
  </r>
  <r>
    <x v="1836"/>
    <x v="2"/>
    <x v="1"/>
    <n v="110.5"/>
    <n v="221"/>
    <x v="67"/>
    <d v="2025-03-10T00:00:00"/>
    <s v="F"/>
    <x v="0"/>
    <x v="1"/>
    <x v="0"/>
    <x v="8"/>
    <x v="3"/>
    <x v="10"/>
    <x v="2"/>
  </r>
  <r>
    <x v="1837"/>
    <x v="8"/>
    <x v="2"/>
    <n v="26"/>
    <n v="78"/>
    <x v="67"/>
    <d v="2025-03-14T00:00:00"/>
    <s v="F"/>
    <x v="1"/>
    <x v="1"/>
    <x v="0"/>
    <x v="8"/>
    <x v="0"/>
    <x v="10"/>
    <x v="2"/>
  </r>
  <r>
    <x v="1838"/>
    <x v="2"/>
    <x v="7"/>
    <n v="140.69999999999999"/>
    <n v="1407"/>
    <x v="67"/>
    <d v="2025-03-15T00:00:00"/>
    <s v="M"/>
    <x v="3"/>
    <x v="1"/>
    <x v="0"/>
    <x v="8"/>
    <x v="4"/>
    <x v="10"/>
    <x v="1"/>
  </r>
  <r>
    <x v="1839"/>
    <x v="17"/>
    <x v="1"/>
    <n v="41.7"/>
    <n v="83.4"/>
    <x v="67"/>
    <d v="2025-03-17T00:00:00"/>
    <s v="F"/>
    <x v="0"/>
    <x v="4"/>
    <x v="0"/>
    <x v="8"/>
    <x v="9"/>
    <x v="10"/>
    <x v="2"/>
  </r>
  <r>
    <x v="1840"/>
    <x v="2"/>
    <x v="1"/>
    <n v="135.1"/>
    <n v="270.2"/>
    <x v="67"/>
    <d v="2025-03-10T00:00:00"/>
    <s v="M"/>
    <x v="0"/>
    <x v="2"/>
    <x v="0"/>
    <x v="17"/>
    <x v="3"/>
    <x v="10"/>
    <x v="1"/>
  </r>
  <r>
    <x v="1841"/>
    <x v="12"/>
    <x v="32"/>
    <n v="95.5"/>
    <n v="2101"/>
    <x v="67"/>
    <d v="2025-03-10T00:00:00"/>
    <s v="F"/>
    <x v="4"/>
    <x v="4"/>
    <x v="0"/>
    <x v="26"/>
    <x v="3"/>
    <x v="10"/>
    <x v="2"/>
  </r>
  <r>
    <x v="1842"/>
    <x v="15"/>
    <x v="0"/>
    <n v="25.5"/>
    <n v="25.5"/>
    <x v="67"/>
    <d v="2025-03-12T00:00:00"/>
    <s v=""/>
    <x v="2"/>
    <x v="2"/>
    <x v="0"/>
    <x v="11"/>
    <x v="2"/>
    <x v="10"/>
    <x v="0"/>
  </r>
  <r>
    <x v="1843"/>
    <x v="1"/>
    <x v="0"/>
    <n v="42.6"/>
    <n v="42.6"/>
    <x v="67"/>
    <d v="2025-03-13T00:00:00"/>
    <s v="F"/>
    <x v="0"/>
    <x v="0"/>
    <x v="0"/>
    <x v="11"/>
    <x v="5"/>
    <x v="10"/>
    <x v="2"/>
  </r>
  <r>
    <x v="1844"/>
    <x v="8"/>
    <x v="20"/>
    <n v="32.4"/>
    <n v="486"/>
    <x v="67"/>
    <d v="2025-03-10T00:00:00"/>
    <s v="M"/>
    <x v="1"/>
    <x v="1"/>
    <x v="0"/>
    <x v="11"/>
    <x v="3"/>
    <x v="10"/>
    <x v="1"/>
  </r>
  <r>
    <x v="1845"/>
    <x v="4"/>
    <x v="12"/>
    <n v="20.2"/>
    <n v="80.8"/>
    <x v="67"/>
    <d v="2025-03-10T00:00:00"/>
    <s v="O"/>
    <x v="2"/>
    <x v="0"/>
    <x v="0"/>
    <x v="11"/>
    <x v="3"/>
    <x v="10"/>
    <x v="3"/>
  </r>
  <r>
    <x v="1846"/>
    <x v="16"/>
    <x v="2"/>
    <n v="52.5"/>
    <n v="157.5"/>
    <x v="67"/>
    <d v="2025-03-14T00:00:00"/>
    <s v="F"/>
    <x v="4"/>
    <x v="0"/>
    <x v="0"/>
    <x v="18"/>
    <x v="0"/>
    <x v="10"/>
    <x v="2"/>
  </r>
  <r>
    <x v="1847"/>
    <x v="2"/>
    <x v="9"/>
    <n v="59.9"/>
    <n v="299.5"/>
    <x v="67"/>
    <d v="2025-03-11T00:00:00"/>
    <s v="F"/>
    <x v="2"/>
    <x v="0"/>
    <x v="0"/>
    <x v="19"/>
    <x v="1"/>
    <x v="10"/>
    <x v="2"/>
  </r>
  <r>
    <x v="1848"/>
    <x v="4"/>
    <x v="1"/>
    <n v="53.2"/>
    <n v="106.4"/>
    <x v="67"/>
    <d v="2025-03-10T00:00:00"/>
    <s v="F"/>
    <x v="1"/>
    <x v="3"/>
    <x v="0"/>
    <x v="20"/>
    <x v="3"/>
    <x v="10"/>
    <x v="2"/>
  </r>
  <r>
    <x v="1849"/>
    <x v="2"/>
    <x v="1"/>
    <n v="60"/>
    <n v="120"/>
    <x v="67"/>
    <d v="2025-03-15T00:00:00"/>
    <s v="M"/>
    <x v="1"/>
    <x v="2"/>
    <x v="0"/>
    <x v="20"/>
    <x v="4"/>
    <x v="10"/>
    <x v="1"/>
  </r>
  <r>
    <x v="1850"/>
    <x v="8"/>
    <x v="2"/>
    <n v="29.3"/>
    <n v="87.9"/>
    <x v="67"/>
    <d v="2025-03-10T00:00:00"/>
    <s v="F"/>
    <x v="4"/>
    <x v="0"/>
    <x v="0"/>
    <x v="13"/>
    <x v="3"/>
    <x v="10"/>
    <x v="2"/>
  </r>
  <r>
    <x v="1851"/>
    <x v="12"/>
    <x v="1"/>
    <n v="55.4"/>
    <n v="110.8"/>
    <x v="67"/>
    <d v="2025-03-10T00:00:00"/>
    <s v="F"/>
    <x v="0"/>
    <x v="2"/>
    <x v="0"/>
    <x v="21"/>
    <x v="3"/>
    <x v="10"/>
    <x v="2"/>
  </r>
  <r>
    <x v="1852"/>
    <x v="0"/>
    <x v="9"/>
    <n v="20.100000000000001"/>
    <n v="100.5"/>
    <x v="67"/>
    <d v="2025-03-11T00:00:00"/>
    <s v="F"/>
    <x v="1"/>
    <x v="2"/>
    <x v="0"/>
    <x v="21"/>
    <x v="1"/>
    <x v="10"/>
    <x v="2"/>
  </r>
  <r>
    <x v="1853"/>
    <x v="14"/>
    <x v="9"/>
    <n v="24"/>
    <n v="120"/>
    <x v="67"/>
    <d v="2025-03-12T00:00:00"/>
    <s v="M"/>
    <x v="2"/>
    <x v="0"/>
    <x v="0"/>
    <x v="1"/>
    <x v="2"/>
    <x v="10"/>
    <x v="1"/>
  </r>
  <r>
    <x v="1854"/>
    <x v="8"/>
    <x v="1"/>
    <n v="30.6"/>
    <n v="61.2"/>
    <x v="68"/>
    <d v="2025-03-12T00:00:00"/>
    <s v="F"/>
    <x v="0"/>
    <x v="0"/>
    <x v="0"/>
    <x v="1"/>
    <x v="1"/>
    <x v="10"/>
    <x v="2"/>
  </r>
  <r>
    <x v="1855"/>
    <x v="10"/>
    <x v="9"/>
    <n v="33"/>
    <n v="165"/>
    <x v="68"/>
    <d v="2025-03-11T00:00:00"/>
    <s v="M"/>
    <x v="1"/>
    <x v="1"/>
    <x v="0"/>
    <x v="27"/>
    <x v="3"/>
    <x v="10"/>
    <x v="1"/>
  </r>
  <r>
    <x v="1856"/>
    <x v="17"/>
    <x v="11"/>
    <n v="42.1"/>
    <n v="378.90000000000003"/>
    <x v="68"/>
    <d v="2025-03-16T00:00:00"/>
    <s v="F"/>
    <x v="2"/>
    <x v="0"/>
    <x v="0"/>
    <x v="44"/>
    <x v="4"/>
    <x v="10"/>
    <x v="2"/>
  </r>
  <r>
    <x v="1857"/>
    <x v="6"/>
    <x v="3"/>
    <n v="77.7"/>
    <n v="543.9"/>
    <x v="68"/>
    <d v="2025-03-15T00:00:00"/>
    <s v="F"/>
    <x v="1"/>
    <x v="2"/>
    <x v="0"/>
    <x v="50"/>
    <x v="0"/>
    <x v="10"/>
    <x v="2"/>
  </r>
  <r>
    <x v="1858"/>
    <x v="17"/>
    <x v="13"/>
    <n v="22.7"/>
    <n v="136.19999999999999"/>
    <x v="68"/>
    <d v="2025-03-13T00:00:00"/>
    <s v="F"/>
    <x v="2"/>
    <x v="0"/>
    <x v="0"/>
    <x v="3"/>
    <x v="2"/>
    <x v="10"/>
    <x v="2"/>
  </r>
  <r>
    <x v="1859"/>
    <x v="2"/>
    <x v="1"/>
    <n v="133"/>
    <n v="266"/>
    <x v="68"/>
    <d v="2025-03-10T00:00:00"/>
    <s v="M"/>
    <x v="2"/>
    <x v="2"/>
    <x v="0"/>
    <x v="3"/>
    <x v="7"/>
    <x v="10"/>
    <x v="1"/>
  </r>
  <r>
    <x v="1860"/>
    <x v="0"/>
    <x v="1"/>
    <n v="23.3"/>
    <n v="46.6"/>
    <x v="68"/>
    <d v="2025-03-11T00:00:00"/>
    <s v="M"/>
    <x v="1"/>
    <x v="2"/>
    <x v="0"/>
    <x v="3"/>
    <x v="3"/>
    <x v="10"/>
    <x v="1"/>
  </r>
  <r>
    <x v="1861"/>
    <x v="8"/>
    <x v="2"/>
    <n v="20.7"/>
    <n v="62.099999999999994"/>
    <x v="68"/>
    <d v="2025-03-12T00:00:00"/>
    <s v="O"/>
    <x v="0"/>
    <x v="2"/>
    <x v="0"/>
    <x v="3"/>
    <x v="1"/>
    <x v="10"/>
    <x v="3"/>
  </r>
  <r>
    <x v="1862"/>
    <x v="12"/>
    <x v="1"/>
    <n v="47"/>
    <n v="94"/>
    <x v="68"/>
    <d v="2025-03-11T00:00:00"/>
    <s v="M"/>
    <x v="1"/>
    <x v="2"/>
    <x v="0"/>
    <x v="3"/>
    <x v="3"/>
    <x v="10"/>
    <x v="1"/>
  </r>
  <r>
    <x v="1863"/>
    <x v="12"/>
    <x v="2"/>
    <n v="38.200000000000003"/>
    <n v="114.60000000000001"/>
    <x v="68"/>
    <d v="2025-03-12T00:00:00"/>
    <s v="F"/>
    <x v="2"/>
    <x v="4"/>
    <x v="0"/>
    <x v="3"/>
    <x v="1"/>
    <x v="10"/>
    <x v="2"/>
  </r>
  <r>
    <x v="1864"/>
    <x v="9"/>
    <x v="0"/>
    <n v="39.1"/>
    <n v="39.1"/>
    <x v="68"/>
    <d v="2025-03-12T00:00:00"/>
    <s v="F"/>
    <x v="0"/>
    <x v="0"/>
    <x v="0"/>
    <x v="3"/>
    <x v="1"/>
    <x v="10"/>
    <x v="2"/>
  </r>
  <r>
    <x v="1865"/>
    <x v="7"/>
    <x v="30"/>
    <n v="55.6"/>
    <n v="1390"/>
    <x v="68"/>
    <d v="2025-03-12T00:00:00"/>
    <s v="M"/>
    <x v="0"/>
    <x v="2"/>
    <x v="0"/>
    <x v="3"/>
    <x v="1"/>
    <x v="10"/>
    <x v="1"/>
  </r>
  <r>
    <x v="1866"/>
    <x v="15"/>
    <x v="0"/>
    <n v="43.1"/>
    <n v="43.1"/>
    <x v="68"/>
    <d v="2025-03-10T00:00:00"/>
    <s v="O"/>
    <x v="1"/>
    <x v="2"/>
    <x v="0"/>
    <x v="3"/>
    <x v="7"/>
    <x v="10"/>
    <x v="3"/>
  </r>
  <r>
    <x v="1867"/>
    <x v="6"/>
    <x v="12"/>
    <n v="48.1"/>
    <n v="192.4"/>
    <x v="68"/>
    <d v="2025-03-11T00:00:00"/>
    <s v="F"/>
    <x v="4"/>
    <x v="2"/>
    <x v="0"/>
    <x v="3"/>
    <x v="3"/>
    <x v="10"/>
    <x v="2"/>
  </r>
  <r>
    <x v="1868"/>
    <x v="4"/>
    <x v="0"/>
    <n v="42"/>
    <n v="42"/>
    <x v="68"/>
    <d v="2025-03-11T00:00:00"/>
    <s v="O"/>
    <x v="0"/>
    <x v="0"/>
    <x v="0"/>
    <x v="3"/>
    <x v="3"/>
    <x v="10"/>
    <x v="3"/>
  </r>
  <r>
    <x v="1869"/>
    <x v="8"/>
    <x v="9"/>
    <n v="18.3"/>
    <n v="91.5"/>
    <x v="68"/>
    <d v="2025-03-10T00:00:00"/>
    <s v="F"/>
    <x v="2"/>
    <x v="0"/>
    <x v="0"/>
    <x v="3"/>
    <x v="7"/>
    <x v="10"/>
    <x v="2"/>
  </r>
  <r>
    <x v="1870"/>
    <x v="10"/>
    <x v="12"/>
    <n v="45.3"/>
    <n v="181.2"/>
    <x v="68"/>
    <d v="2025-03-13T00:00:00"/>
    <s v="F"/>
    <x v="0"/>
    <x v="2"/>
    <x v="0"/>
    <x v="3"/>
    <x v="2"/>
    <x v="10"/>
    <x v="2"/>
  </r>
  <r>
    <x v="1871"/>
    <x v="0"/>
    <x v="1"/>
    <n v="27.6"/>
    <n v="55.2"/>
    <x v="68"/>
    <d v="2025-03-12T00:00:00"/>
    <s v="M"/>
    <x v="0"/>
    <x v="2"/>
    <x v="0"/>
    <x v="37"/>
    <x v="1"/>
    <x v="10"/>
    <x v="1"/>
  </r>
  <r>
    <x v="1872"/>
    <x v="4"/>
    <x v="9"/>
    <n v="26.9"/>
    <n v="134.5"/>
    <x v="68"/>
    <d v="2025-03-11T00:00:00"/>
    <s v="F"/>
    <x v="2"/>
    <x v="0"/>
    <x v="0"/>
    <x v="25"/>
    <x v="3"/>
    <x v="10"/>
    <x v="2"/>
  </r>
  <r>
    <x v="1873"/>
    <x v="2"/>
    <x v="11"/>
    <n v="82.4"/>
    <n v="741.6"/>
    <x v="68"/>
    <d v="2025-03-12T00:00:00"/>
    <s v="O"/>
    <x v="2"/>
    <x v="0"/>
    <x v="0"/>
    <x v="5"/>
    <x v="1"/>
    <x v="10"/>
    <x v="3"/>
  </r>
  <r>
    <x v="1874"/>
    <x v="6"/>
    <x v="0"/>
    <n v="103.7"/>
    <n v="103.7"/>
    <x v="68"/>
    <d v="2025-03-12T00:00:00"/>
    <s v="F"/>
    <x v="1"/>
    <x v="0"/>
    <x v="0"/>
    <x v="5"/>
    <x v="1"/>
    <x v="10"/>
    <x v="2"/>
  </r>
  <r>
    <x v="1875"/>
    <x v="2"/>
    <x v="1"/>
    <n v="58.8"/>
    <n v="117.6"/>
    <x v="68"/>
    <d v="2025-03-15T00:00:00"/>
    <s v="F"/>
    <x v="1"/>
    <x v="2"/>
    <x v="0"/>
    <x v="6"/>
    <x v="0"/>
    <x v="10"/>
    <x v="2"/>
  </r>
  <r>
    <x v="1876"/>
    <x v="13"/>
    <x v="0"/>
    <n v="31.5"/>
    <n v="31.5"/>
    <x v="68"/>
    <d v="2025-03-11T00:00:00"/>
    <s v="F"/>
    <x v="1"/>
    <x v="1"/>
    <x v="0"/>
    <x v="6"/>
    <x v="3"/>
    <x v="10"/>
    <x v="2"/>
  </r>
  <r>
    <x v="1877"/>
    <x v="7"/>
    <x v="9"/>
    <n v="36.799999999999997"/>
    <n v="184"/>
    <x v="68"/>
    <d v="2025-03-12T00:00:00"/>
    <s v="F"/>
    <x v="0"/>
    <x v="0"/>
    <x v="0"/>
    <x v="8"/>
    <x v="1"/>
    <x v="10"/>
    <x v="2"/>
  </r>
  <r>
    <x v="1878"/>
    <x v="3"/>
    <x v="0"/>
    <n v="84.4"/>
    <n v="84.4"/>
    <x v="68"/>
    <d v="2025-03-11T00:00:00"/>
    <s v="F"/>
    <x v="0"/>
    <x v="0"/>
    <x v="0"/>
    <x v="8"/>
    <x v="3"/>
    <x v="10"/>
    <x v="2"/>
  </r>
  <r>
    <x v="1879"/>
    <x v="14"/>
    <x v="0"/>
    <n v="44.7"/>
    <n v="44.7"/>
    <x v="68"/>
    <d v="2025-03-11T00:00:00"/>
    <s v="M"/>
    <x v="0"/>
    <x v="1"/>
    <x v="0"/>
    <x v="8"/>
    <x v="3"/>
    <x v="10"/>
    <x v="1"/>
  </r>
  <r>
    <x v="1880"/>
    <x v="9"/>
    <x v="8"/>
    <n v="39.4"/>
    <n v="315.2"/>
    <x v="68"/>
    <d v="2025-03-11T00:00:00"/>
    <s v="F"/>
    <x v="1"/>
    <x v="2"/>
    <x v="0"/>
    <x v="8"/>
    <x v="3"/>
    <x v="10"/>
    <x v="2"/>
  </r>
  <r>
    <x v="1881"/>
    <x v="11"/>
    <x v="12"/>
    <n v="34.9"/>
    <n v="139.6"/>
    <x v="68"/>
    <d v="2025-03-12T00:00:00"/>
    <s v="F"/>
    <x v="0"/>
    <x v="2"/>
    <x v="0"/>
    <x v="8"/>
    <x v="1"/>
    <x v="10"/>
    <x v="2"/>
  </r>
  <r>
    <x v="1882"/>
    <x v="1"/>
    <x v="2"/>
    <n v="62.3"/>
    <n v="186.89999999999998"/>
    <x v="68"/>
    <d v="2025-03-12T00:00:00"/>
    <s v="M"/>
    <x v="4"/>
    <x v="2"/>
    <x v="0"/>
    <x v="8"/>
    <x v="1"/>
    <x v="10"/>
    <x v="1"/>
  </r>
  <r>
    <x v="1883"/>
    <x v="8"/>
    <x v="12"/>
    <n v="21.1"/>
    <n v="84.4"/>
    <x v="68"/>
    <d v="2025-03-13T00:00:00"/>
    <s v="M"/>
    <x v="3"/>
    <x v="0"/>
    <x v="0"/>
    <x v="8"/>
    <x v="2"/>
    <x v="10"/>
    <x v="1"/>
  </r>
  <r>
    <x v="1884"/>
    <x v="8"/>
    <x v="2"/>
    <n v="33.200000000000003"/>
    <n v="99.600000000000009"/>
    <x v="68"/>
    <d v="2025-03-24T00:00:00"/>
    <s v=""/>
    <x v="0"/>
    <x v="4"/>
    <x v="0"/>
    <x v="8"/>
    <x v="12"/>
    <x v="10"/>
    <x v="0"/>
  </r>
  <r>
    <x v="1885"/>
    <x v="1"/>
    <x v="12"/>
    <n v="74.5"/>
    <n v="298"/>
    <x v="68"/>
    <d v="2025-03-11T00:00:00"/>
    <s v="M"/>
    <x v="4"/>
    <x v="0"/>
    <x v="0"/>
    <x v="8"/>
    <x v="3"/>
    <x v="10"/>
    <x v="1"/>
  </r>
  <r>
    <x v="1886"/>
    <x v="10"/>
    <x v="4"/>
    <n v="68.599999999999994"/>
    <n v="823.19999999999993"/>
    <x v="68"/>
    <d v="2025-03-13T00:00:00"/>
    <s v="F"/>
    <x v="0"/>
    <x v="2"/>
    <x v="0"/>
    <x v="8"/>
    <x v="2"/>
    <x v="10"/>
    <x v="2"/>
  </r>
  <r>
    <x v="1887"/>
    <x v="5"/>
    <x v="21"/>
    <n v="36.4"/>
    <n v="509.59999999999997"/>
    <x v="68"/>
    <d v="2025-03-12T00:00:00"/>
    <s v="F"/>
    <x v="0"/>
    <x v="1"/>
    <x v="0"/>
    <x v="9"/>
    <x v="1"/>
    <x v="10"/>
    <x v="2"/>
  </r>
  <r>
    <x v="1888"/>
    <x v="16"/>
    <x v="9"/>
    <n v="67.599999999999994"/>
    <n v="338"/>
    <x v="69"/>
    <d v="2025-03-14T00:00:00"/>
    <s v="F"/>
    <x v="4"/>
    <x v="1"/>
    <x v="0"/>
    <x v="9"/>
    <x v="2"/>
    <x v="10"/>
    <x v="2"/>
  </r>
  <r>
    <x v="1889"/>
    <x v="15"/>
    <x v="0"/>
    <n v="46.3"/>
    <n v="46.3"/>
    <x v="69"/>
    <d v="2025-03-12T00:00:00"/>
    <s v="M"/>
    <x v="2"/>
    <x v="0"/>
    <x v="0"/>
    <x v="9"/>
    <x v="3"/>
    <x v="10"/>
    <x v="1"/>
  </r>
  <r>
    <x v="1890"/>
    <x v="1"/>
    <x v="2"/>
    <n v="124.2"/>
    <n v="372.6"/>
    <x v="69"/>
    <d v="2025-03-13T00:00:00"/>
    <s v="F"/>
    <x v="1"/>
    <x v="2"/>
    <x v="0"/>
    <x v="11"/>
    <x v="1"/>
    <x v="10"/>
    <x v="2"/>
  </r>
  <r>
    <x v="1891"/>
    <x v="10"/>
    <x v="1"/>
    <n v="37"/>
    <n v="74"/>
    <x v="69"/>
    <d v="2025-03-17T00:00:00"/>
    <s v="M"/>
    <x v="0"/>
    <x v="0"/>
    <x v="0"/>
    <x v="11"/>
    <x v="4"/>
    <x v="10"/>
    <x v="1"/>
  </r>
  <r>
    <x v="1892"/>
    <x v="5"/>
    <x v="0"/>
    <n v="41.8"/>
    <n v="41.8"/>
    <x v="69"/>
    <d v="2025-03-12T00:00:00"/>
    <s v="M"/>
    <x v="2"/>
    <x v="0"/>
    <x v="0"/>
    <x v="31"/>
    <x v="3"/>
    <x v="10"/>
    <x v="1"/>
  </r>
  <r>
    <x v="1893"/>
    <x v="9"/>
    <x v="1"/>
    <n v="57.2"/>
    <n v="114.4"/>
    <x v="69"/>
    <d v="2025-03-13T00:00:00"/>
    <s v="M"/>
    <x v="2"/>
    <x v="1"/>
    <x v="0"/>
    <x v="20"/>
    <x v="1"/>
    <x v="10"/>
    <x v="1"/>
  </r>
  <r>
    <x v="1894"/>
    <x v="6"/>
    <x v="1"/>
    <n v="47.1"/>
    <n v="94.2"/>
    <x v="69"/>
    <d v="2025-03-13T00:00:00"/>
    <s v="F"/>
    <x v="0"/>
    <x v="4"/>
    <x v="0"/>
    <x v="20"/>
    <x v="1"/>
    <x v="10"/>
    <x v="2"/>
  </r>
  <r>
    <x v="1895"/>
    <x v="5"/>
    <x v="2"/>
    <n v="86.4"/>
    <n v="259.20000000000005"/>
    <x v="69"/>
    <d v="2025-03-12T00:00:00"/>
    <s v="M"/>
    <x v="2"/>
    <x v="1"/>
    <x v="0"/>
    <x v="52"/>
    <x v="3"/>
    <x v="10"/>
    <x v="1"/>
  </r>
  <r>
    <x v="1896"/>
    <x v="6"/>
    <x v="9"/>
    <n v="105"/>
    <n v="525"/>
    <x v="69"/>
    <d v="2025-03-14T00:00:00"/>
    <s v="M"/>
    <x v="0"/>
    <x v="0"/>
    <x v="0"/>
    <x v="13"/>
    <x v="2"/>
    <x v="10"/>
    <x v="1"/>
  </r>
  <r>
    <x v="1897"/>
    <x v="18"/>
    <x v="0"/>
    <n v="33"/>
    <n v="33"/>
    <x v="69"/>
    <d v="2025-03-14T00:00:00"/>
    <s v="M"/>
    <x v="4"/>
    <x v="0"/>
    <x v="0"/>
    <x v="21"/>
    <x v="2"/>
    <x v="10"/>
    <x v="1"/>
  </r>
  <r>
    <x v="1898"/>
    <x v="6"/>
    <x v="9"/>
    <n v="106.6"/>
    <n v="533"/>
    <x v="69"/>
    <d v="2025-03-24T00:00:00"/>
    <s v="F"/>
    <x v="2"/>
    <x v="0"/>
    <x v="0"/>
    <x v="1"/>
    <x v="10"/>
    <x v="10"/>
    <x v="2"/>
  </r>
  <r>
    <x v="1899"/>
    <x v="10"/>
    <x v="46"/>
    <n v="26.8"/>
    <n v="857.6"/>
    <x v="69"/>
    <d v="2025-03-12T00:00:00"/>
    <s v="F"/>
    <x v="2"/>
    <x v="0"/>
    <x v="0"/>
    <x v="1"/>
    <x v="3"/>
    <x v="10"/>
    <x v="2"/>
  </r>
  <r>
    <x v="1900"/>
    <x v="17"/>
    <x v="9"/>
    <n v="25.8"/>
    <n v="129"/>
    <x v="69"/>
    <d v="2025-03-11T00:00:00"/>
    <s v="F"/>
    <x v="1"/>
    <x v="2"/>
    <x v="0"/>
    <x v="3"/>
    <x v="7"/>
    <x v="10"/>
    <x v="2"/>
  </r>
  <r>
    <x v="1901"/>
    <x v="2"/>
    <x v="2"/>
    <n v="217"/>
    <n v="651"/>
    <x v="69"/>
    <d v="2025-03-12T00:00:00"/>
    <s v="F"/>
    <x v="1"/>
    <x v="1"/>
    <x v="0"/>
    <x v="3"/>
    <x v="3"/>
    <x v="10"/>
    <x v="2"/>
  </r>
  <r>
    <x v="1902"/>
    <x v="2"/>
    <x v="1"/>
    <n v="97.3"/>
    <n v="194.6"/>
    <x v="69"/>
    <d v="2025-03-12T00:00:00"/>
    <s v="M"/>
    <x v="2"/>
    <x v="4"/>
    <x v="0"/>
    <x v="3"/>
    <x v="3"/>
    <x v="10"/>
    <x v="1"/>
  </r>
  <r>
    <x v="1903"/>
    <x v="1"/>
    <x v="0"/>
    <n v="49.8"/>
    <n v="49.8"/>
    <x v="69"/>
    <d v="2025-03-12T00:00:00"/>
    <s v="F"/>
    <x v="0"/>
    <x v="0"/>
    <x v="0"/>
    <x v="3"/>
    <x v="3"/>
    <x v="10"/>
    <x v="2"/>
  </r>
  <r>
    <x v="1904"/>
    <x v="12"/>
    <x v="9"/>
    <n v="32.6"/>
    <n v="163"/>
    <x v="69"/>
    <d v="2025-03-12T00:00:00"/>
    <s v="F"/>
    <x v="0"/>
    <x v="0"/>
    <x v="0"/>
    <x v="3"/>
    <x v="3"/>
    <x v="10"/>
    <x v="2"/>
  </r>
  <r>
    <x v="1905"/>
    <x v="9"/>
    <x v="1"/>
    <n v="40.1"/>
    <n v="80.2"/>
    <x v="69"/>
    <d v="2025-03-14T00:00:00"/>
    <s v="M"/>
    <x v="1"/>
    <x v="2"/>
    <x v="0"/>
    <x v="3"/>
    <x v="2"/>
    <x v="10"/>
    <x v="1"/>
  </r>
  <r>
    <x v="1906"/>
    <x v="10"/>
    <x v="1"/>
    <n v="49.4"/>
    <n v="98.8"/>
    <x v="69"/>
    <d v="2025-03-13T00:00:00"/>
    <s v="M"/>
    <x v="1"/>
    <x v="0"/>
    <x v="0"/>
    <x v="3"/>
    <x v="1"/>
    <x v="10"/>
    <x v="1"/>
  </r>
  <r>
    <x v="1907"/>
    <x v="2"/>
    <x v="0"/>
    <n v="67.3"/>
    <n v="67.3"/>
    <x v="69"/>
    <d v="2025-03-12T00:00:00"/>
    <s v="F"/>
    <x v="0"/>
    <x v="2"/>
    <x v="0"/>
    <x v="3"/>
    <x v="3"/>
    <x v="10"/>
    <x v="2"/>
  </r>
  <r>
    <x v="1908"/>
    <x v="18"/>
    <x v="12"/>
    <n v="44.5"/>
    <n v="178"/>
    <x v="69"/>
    <d v="2025-03-14T00:00:00"/>
    <s v=""/>
    <x v="1"/>
    <x v="0"/>
    <x v="0"/>
    <x v="3"/>
    <x v="2"/>
    <x v="10"/>
    <x v="0"/>
  </r>
  <r>
    <x v="1909"/>
    <x v="6"/>
    <x v="5"/>
    <n v="111.1"/>
    <n v="1222.0999999999999"/>
    <x v="69"/>
    <d v="2025-03-12T00:00:00"/>
    <s v="F"/>
    <x v="4"/>
    <x v="0"/>
    <x v="0"/>
    <x v="3"/>
    <x v="3"/>
    <x v="10"/>
    <x v="2"/>
  </r>
  <r>
    <x v="1910"/>
    <x v="8"/>
    <x v="2"/>
    <n v="19.7"/>
    <n v="59.099999999999994"/>
    <x v="69"/>
    <d v="2025-03-12T00:00:00"/>
    <s v="F"/>
    <x v="4"/>
    <x v="4"/>
    <x v="0"/>
    <x v="3"/>
    <x v="3"/>
    <x v="10"/>
    <x v="2"/>
  </r>
  <r>
    <x v="1911"/>
    <x v="1"/>
    <x v="0"/>
    <n v="40.299999999999997"/>
    <n v="40.299999999999997"/>
    <x v="69"/>
    <d v="2025-03-12T00:00:00"/>
    <s v="O"/>
    <x v="1"/>
    <x v="0"/>
    <x v="0"/>
    <x v="3"/>
    <x v="3"/>
    <x v="10"/>
    <x v="3"/>
  </r>
  <r>
    <x v="1912"/>
    <x v="6"/>
    <x v="1"/>
    <n v="108.8"/>
    <n v="217.6"/>
    <x v="69"/>
    <d v="2025-03-16T00:00:00"/>
    <s v="M"/>
    <x v="0"/>
    <x v="2"/>
    <x v="0"/>
    <x v="6"/>
    <x v="0"/>
    <x v="10"/>
    <x v="1"/>
  </r>
  <r>
    <x v="1913"/>
    <x v="8"/>
    <x v="2"/>
    <n v="48.2"/>
    <n v="144.60000000000002"/>
    <x v="69"/>
    <d v="2025-03-16T00:00:00"/>
    <s v="F"/>
    <x v="4"/>
    <x v="0"/>
    <x v="0"/>
    <x v="7"/>
    <x v="0"/>
    <x v="10"/>
    <x v="2"/>
  </r>
  <r>
    <x v="1914"/>
    <x v="2"/>
    <x v="2"/>
    <n v="104.7"/>
    <n v="314.10000000000002"/>
    <x v="69"/>
    <d v="2025-03-13T00:00:00"/>
    <s v="F"/>
    <x v="0"/>
    <x v="1"/>
    <x v="0"/>
    <x v="7"/>
    <x v="1"/>
    <x v="10"/>
    <x v="2"/>
  </r>
  <r>
    <x v="1915"/>
    <x v="1"/>
    <x v="1"/>
    <n v="80.599999999999994"/>
    <n v="161.19999999999999"/>
    <x v="69"/>
    <d v="2025-03-11T00:00:00"/>
    <s v="F"/>
    <x v="1"/>
    <x v="0"/>
    <x v="0"/>
    <x v="8"/>
    <x v="7"/>
    <x v="10"/>
    <x v="2"/>
  </r>
  <r>
    <x v="1916"/>
    <x v="6"/>
    <x v="0"/>
    <n v="65.5"/>
    <n v="65.5"/>
    <x v="69"/>
    <d v="2025-03-13T00:00:00"/>
    <s v="O"/>
    <x v="1"/>
    <x v="0"/>
    <x v="0"/>
    <x v="8"/>
    <x v="1"/>
    <x v="10"/>
    <x v="3"/>
  </r>
  <r>
    <x v="1917"/>
    <x v="9"/>
    <x v="2"/>
    <n v="61.4"/>
    <n v="184.2"/>
    <x v="69"/>
    <d v="2025-03-13T00:00:00"/>
    <s v="F"/>
    <x v="4"/>
    <x v="2"/>
    <x v="0"/>
    <x v="8"/>
    <x v="1"/>
    <x v="10"/>
    <x v="2"/>
  </r>
  <r>
    <x v="1918"/>
    <x v="0"/>
    <x v="0"/>
    <n v="12.5"/>
    <n v="12.5"/>
    <x v="70"/>
    <d v="2025-03-15T00:00:00"/>
    <s v="F"/>
    <x v="0"/>
    <x v="1"/>
    <x v="0"/>
    <x v="8"/>
    <x v="2"/>
    <x v="10"/>
    <x v="2"/>
  </r>
  <r>
    <x v="1919"/>
    <x v="4"/>
    <x v="12"/>
    <n v="35.1"/>
    <n v="140.4"/>
    <x v="70"/>
    <d v="2025-03-13T00:00:00"/>
    <s v="M"/>
    <x v="2"/>
    <x v="1"/>
    <x v="0"/>
    <x v="17"/>
    <x v="3"/>
    <x v="10"/>
    <x v="1"/>
  </r>
  <r>
    <x v="1920"/>
    <x v="5"/>
    <x v="1"/>
    <n v="55.7"/>
    <n v="111.4"/>
    <x v="70"/>
    <d v="2025-03-13T00:00:00"/>
    <s v="M"/>
    <x v="0"/>
    <x v="1"/>
    <x v="0"/>
    <x v="26"/>
    <x v="3"/>
    <x v="10"/>
    <x v="1"/>
  </r>
  <r>
    <x v="1921"/>
    <x v="7"/>
    <x v="1"/>
    <n v="57.7"/>
    <n v="115.4"/>
    <x v="70"/>
    <d v="2025-03-14T00:00:00"/>
    <s v="M"/>
    <x v="4"/>
    <x v="1"/>
    <x v="0"/>
    <x v="9"/>
    <x v="1"/>
    <x v="10"/>
    <x v="1"/>
  </r>
  <r>
    <x v="1922"/>
    <x v="2"/>
    <x v="13"/>
    <n v="85.7"/>
    <n v="514.20000000000005"/>
    <x v="70"/>
    <d v="2025-03-13T00:00:00"/>
    <s v="M"/>
    <x v="3"/>
    <x v="2"/>
    <x v="0"/>
    <x v="9"/>
    <x v="3"/>
    <x v="10"/>
    <x v="1"/>
  </r>
  <r>
    <x v="1923"/>
    <x v="2"/>
    <x v="2"/>
    <n v="86.9"/>
    <n v="260.70000000000005"/>
    <x v="70"/>
    <d v="2025-03-14T00:00:00"/>
    <s v="F"/>
    <x v="1"/>
    <x v="0"/>
    <x v="0"/>
    <x v="11"/>
    <x v="1"/>
    <x v="10"/>
    <x v="2"/>
  </r>
  <r>
    <x v="1924"/>
    <x v="18"/>
    <x v="1"/>
    <n v="46.4"/>
    <n v="92.8"/>
    <x v="70"/>
    <d v="2025-03-15T00:00:00"/>
    <s v="F"/>
    <x v="4"/>
    <x v="0"/>
    <x v="0"/>
    <x v="11"/>
    <x v="2"/>
    <x v="10"/>
    <x v="2"/>
  </r>
  <r>
    <x v="1925"/>
    <x v="5"/>
    <x v="2"/>
    <n v="25.4"/>
    <n v="76.199999999999989"/>
    <x v="70"/>
    <d v="2025-03-12T00:00:00"/>
    <s v="F"/>
    <x v="2"/>
    <x v="2"/>
    <x v="0"/>
    <x v="18"/>
    <x v="7"/>
    <x v="10"/>
    <x v="2"/>
  </r>
  <r>
    <x v="1926"/>
    <x v="10"/>
    <x v="2"/>
    <n v="47.8"/>
    <n v="143.39999999999998"/>
    <x v="70"/>
    <d v="2025-03-12T00:00:00"/>
    <s v=""/>
    <x v="2"/>
    <x v="2"/>
    <x v="0"/>
    <x v="19"/>
    <x v="7"/>
    <x v="10"/>
    <x v="0"/>
  </r>
  <r>
    <x v="1927"/>
    <x v="8"/>
    <x v="10"/>
    <n v="18.399999999999999"/>
    <n v="349.59999999999997"/>
    <x v="70"/>
    <d v="2025-03-14T00:00:00"/>
    <s v="O"/>
    <x v="2"/>
    <x v="0"/>
    <x v="0"/>
    <x v="20"/>
    <x v="1"/>
    <x v="10"/>
    <x v="3"/>
  </r>
  <r>
    <x v="1928"/>
    <x v="12"/>
    <x v="2"/>
    <n v="65.5"/>
    <n v="196.5"/>
    <x v="70"/>
    <d v="2025-03-20T00:00:00"/>
    <s v="F"/>
    <x v="0"/>
    <x v="0"/>
    <x v="0"/>
    <x v="21"/>
    <x v="9"/>
    <x v="10"/>
    <x v="2"/>
  </r>
  <r>
    <x v="1929"/>
    <x v="10"/>
    <x v="1"/>
    <n v="50.6"/>
    <n v="101.2"/>
    <x v="70"/>
    <d v="2025-03-15T00:00:00"/>
    <s v="M"/>
    <x v="2"/>
    <x v="4"/>
    <x v="0"/>
    <x v="21"/>
    <x v="2"/>
    <x v="10"/>
    <x v="1"/>
  </r>
  <r>
    <x v="1930"/>
    <x v="3"/>
    <x v="9"/>
    <n v="69"/>
    <n v="345"/>
    <x v="70"/>
    <d v="2025-03-16T00:00:00"/>
    <s v="M"/>
    <x v="3"/>
    <x v="0"/>
    <x v="0"/>
    <x v="21"/>
    <x v="5"/>
    <x v="10"/>
    <x v="1"/>
  </r>
  <r>
    <x v="1931"/>
    <x v="9"/>
    <x v="8"/>
    <n v="51.1"/>
    <n v="408.8"/>
    <x v="70"/>
    <d v="2025-03-14T00:00:00"/>
    <s v="F"/>
    <x v="0"/>
    <x v="0"/>
    <x v="0"/>
    <x v="1"/>
    <x v="1"/>
    <x v="10"/>
    <x v="2"/>
  </r>
  <r>
    <x v="1932"/>
    <x v="9"/>
    <x v="0"/>
    <n v="36.1"/>
    <n v="36.1"/>
    <x v="70"/>
    <d v="2025-03-13T00:00:00"/>
    <s v="F"/>
    <x v="0"/>
    <x v="2"/>
    <x v="0"/>
    <x v="34"/>
    <x v="3"/>
    <x v="10"/>
    <x v="2"/>
  </r>
  <r>
    <x v="1933"/>
    <x v="14"/>
    <x v="0"/>
    <n v="18.7"/>
    <n v="18.7"/>
    <x v="70"/>
    <d v="2025-03-13T00:00:00"/>
    <s v="M"/>
    <x v="0"/>
    <x v="0"/>
    <x v="0"/>
    <x v="3"/>
    <x v="3"/>
    <x v="10"/>
    <x v="1"/>
  </r>
  <r>
    <x v="1934"/>
    <x v="17"/>
    <x v="0"/>
    <n v="30.1"/>
    <n v="30.1"/>
    <x v="70"/>
    <d v="2025-03-15T00:00:00"/>
    <s v="F"/>
    <x v="3"/>
    <x v="1"/>
    <x v="0"/>
    <x v="3"/>
    <x v="2"/>
    <x v="10"/>
    <x v="2"/>
  </r>
  <r>
    <x v="1935"/>
    <x v="8"/>
    <x v="0"/>
    <n v="16.3"/>
    <n v="16.3"/>
    <x v="70"/>
    <d v="2025-03-13T00:00:00"/>
    <s v="M"/>
    <x v="3"/>
    <x v="0"/>
    <x v="0"/>
    <x v="3"/>
    <x v="3"/>
    <x v="10"/>
    <x v="1"/>
  </r>
  <r>
    <x v="1936"/>
    <x v="1"/>
    <x v="2"/>
    <n v="63.8"/>
    <n v="191.39999999999998"/>
    <x v="70"/>
    <d v="2025-03-17T00:00:00"/>
    <s v="F"/>
    <x v="2"/>
    <x v="1"/>
    <x v="0"/>
    <x v="3"/>
    <x v="0"/>
    <x v="10"/>
    <x v="2"/>
  </r>
  <r>
    <x v="1937"/>
    <x v="1"/>
    <x v="3"/>
    <n v="73.900000000000006"/>
    <n v="517.30000000000007"/>
    <x v="70"/>
    <d v="2025-03-12T00:00:00"/>
    <s v="F"/>
    <x v="0"/>
    <x v="1"/>
    <x v="0"/>
    <x v="3"/>
    <x v="7"/>
    <x v="10"/>
    <x v="2"/>
  </r>
  <r>
    <x v="1938"/>
    <x v="0"/>
    <x v="1"/>
    <n v="20.2"/>
    <n v="40.4"/>
    <x v="70"/>
    <d v="2025-03-13T00:00:00"/>
    <s v="M"/>
    <x v="0"/>
    <x v="1"/>
    <x v="0"/>
    <x v="3"/>
    <x v="3"/>
    <x v="10"/>
    <x v="1"/>
  </r>
  <r>
    <x v="1939"/>
    <x v="11"/>
    <x v="5"/>
    <n v="29.5"/>
    <n v="324.5"/>
    <x v="70"/>
    <d v="2025-03-13T00:00:00"/>
    <s v="M"/>
    <x v="0"/>
    <x v="0"/>
    <x v="0"/>
    <x v="3"/>
    <x v="3"/>
    <x v="10"/>
    <x v="1"/>
  </r>
  <r>
    <x v="1940"/>
    <x v="15"/>
    <x v="3"/>
    <n v="37.9"/>
    <n v="265.3"/>
    <x v="70"/>
    <d v="2025-03-13T00:00:00"/>
    <s v="M"/>
    <x v="1"/>
    <x v="0"/>
    <x v="0"/>
    <x v="3"/>
    <x v="3"/>
    <x v="10"/>
    <x v="1"/>
  </r>
  <r>
    <x v="1941"/>
    <x v="2"/>
    <x v="0"/>
    <n v="56.5"/>
    <n v="56.5"/>
    <x v="70"/>
    <d v="2025-03-13T00:00:00"/>
    <s v="F"/>
    <x v="2"/>
    <x v="1"/>
    <x v="0"/>
    <x v="3"/>
    <x v="3"/>
    <x v="10"/>
    <x v="2"/>
  </r>
  <r>
    <x v="1942"/>
    <x v="2"/>
    <x v="1"/>
    <n v="66.900000000000006"/>
    <n v="133.80000000000001"/>
    <x v="70"/>
    <d v="2025-03-18T00:00:00"/>
    <s v="M"/>
    <x v="1"/>
    <x v="4"/>
    <x v="0"/>
    <x v="25"/>
    <x v="4"/>
    <x v="10"/>
    <x v="1"/>
  </r>
  <r>
    <x v="1943"/>
    <x v="2"/>
    <x v="9"/>
    <n v="51.9"/>
    <n v="259.5"/>
    <x v="70"/>
    <d v="2025-03-15T00:00:00"/>
    <s v="M"/>
    <x v="1"/>
    <x v="0"/>
    <x v="0"/>
    <x v="7"/>
    <x v="2"/>
    <x v="10"/>
    <x v="1"/>
  </r>
  <r>
    <x v="1944"/>
    <x v="2"/>
    <x v="1"/>
    <n v="75.599999999999994"/>
    <n v="151.19999999999999"/>
    <x v="70"/>
    <d v="2025-03-15T00:00:00"/>
    <s v="M"/>
    <x v="1"/>
    <x v="0"/>
    <x v="0"/>
    <x v="8"/>
    <x v="2"/>
    <x v="10"/>
    <x v="1"/>
  </r>
  <r>
    <x v="1945"/>
    <x v="12"/>
    <x v="13"/>
    <n v="47.3"/>
    <n v="283.79999999999995"/>
    <x v="70"/>
    <d v="2025-03-23T00:00:00"/>
    <s v="M"/>
    <x v="0"/>
    <x v="0"/>
    <x v="0"/>
    <x v="8"/>
    <x v="11"/>
    <x v="10"/>
    <x v="1"/>
  </r>
  <r>
    <x v="1946"/>
    <x v="4"/>
    <x v="0"/>
    <n v="20.6"/>
    <n v="20.6"/>
    <x v="70"/>
    <d v="2025-03-13T00:00:00"/>
    <s v=""/>
    <x v="0"/>
    <x v="1"/>
    <x v="0"/>
    <x v="8"/>
    <x v="3"/>
    <x v="10"/>
    <x v="0"/>
  </r>
  <r>
    <x v="1947"/>
    <x v="6"/>
    <x v="2"/>
    <n v="49.7"/>
    <n v="149.10000000000002"/>
    <x v="70"/>
    <d v="2025-03-14T00:00:00"/>
    <s v="M"/>
    <x v="0"/>
    <x v="1"/>
    <x v="0"/>
    <x v="8"/>
    <x v="1"/>
    <x v="10"/>
    <x v="1"/>
  </r>
  <r>
    <x v="1948"/>
    <x v="3"/>
    <x v="0"/>
    <n v="37.9"/>
    <n v="37.9"/>
    <x v="70"/>
    <d v="2025-03-14T00:00:00"/>
    <s v="F"/>
    <x v="0"/>
    <x v="0"/>
    <x v="0"/>
    <x v="8"/>
    <x v="1"/>
    <x v="10"/>
    <x v="2"/>
  </r>
  <r>
    <x v="1949"/>
    <x v="13"/>
    <x v="20"/>
    <n v="32"/>
    <n v="480"/>
    <x v="70"/>
    <d v="2025-03-14T00:00:00"/>
    <s v="F"/>
    <x v="4"/>
    <x v="0"/>
    <x v="0"/>
    <x v="11"/>
    <x v="1"/>
    <x v="10"/>
    <x v="2"/>
  </r>
  <r>
    <x v="1950"/>
    <x v="10"/>
    <x v="16"/>
    <n v="38.5"/>
    <n v="693"/>
    <x v="71"/>
    <d v="2025-03-14T00:00:00"/>
    <s v="M"/>
    <x v="0"/>
    <x v="2"/>
    <x v="0"/>
    <x v="11"/>
    <x v="3"/>
    <x v="10"/>
    <x v="1"/>
  </r>
  <r>
    <x v="1951"/>
    <x v="0"/>
    <x v="12"/>
    <n v="11.7"/>
    <n v="46.8"/>
    <x v="71"/>
    <d v="2025-03-15T00:00:00"/>
    <s v="F"/>
    <x v="1"/>
    <x v="0"/>
    <x v="0"/>
    <x v="20"/>
    <x v="1"/>
    <x v="10"/>
    <x v="2"/>
  </r>
  <r>
    <x v="1952"/>
    <x v="3"/>
    <x v="13"/>
    <n v="83.8"/>
    <n v="502.79999999999995"/>
    <x v="71"/>
    <d v="2025-03-14T00:00:00"/>
    <s v="M"/>
    <x v="0"/>
    <x v="0"/>
    <x v="0"/>
    <x v="21"/>
    <x v="3"/>
    <x v="10"/>
    <x v="1"/>
  </r>
  <r>
    <x v="1953"/>
    <x v="0"/>
    <x v="3"/>
    <n v="14"/>
    <n v="98"/>
    <x v="71"/>
    <d v="2025-03-16T00:00:00"/>
    <s v="M"/>
    <x v="0"/>
    <x v="1"/>
    <x v="0"/>
    <x v="22"/>
    <x v="2"/>
    <x v="10"/>
    <x v="1"/>
  </r>
  <r>
    <x v="1954"/>
    <x v="16"/>
    <x v="12"/>
    <n v="77.3"/>
    <n v="309.2"/>
    <x v="71"/>
    <d v="2025-03-15T00:00:00"/>
    <s v="F"/>
    <x v="4"/>
    <x v="2"/>
    <x v="0"/>
    <x v="3"/>
    <x v="1"/>
    <x v="10"/>
    <x v="2"/>
  </r>
  <r>
    <x v="1955"/>
    <x v="2"/>
    <x v="1"/>
    <n v="76.900000000000006"/>
    <n v="153.80000000000001"/>
    <x v="71"/>
    <d v="2025-03-17T00:00:00"/>
    <s v="F"/>
    <x v="0"/>
    <x v="1"/>
    <x v="0"/>
    <x v="3"/>
    <x v="5"/>
    <x v="10"/>
    <x v="2"/>
  </r>
  <r>
    <x v="1956"/>
    <x v="1"/>
    <x v="0"/>
    <n v="48"/>
    <n v="48"/>
    <x v="71"/>
    <d v="2025-03-15T00:00:00"/>
    <s v="F"/>
    <x v="1"/>
    <x v="2"/>
    <x v="0"/>
    <x v="3"/>
    <x v="1"/>
    <x v="10"/>
    <x v="2"/>
  </r>
  <r>
    <x v="1957"/>
    <x v="2"/>
    <x v="0"/>
    <n v="94.5"/>
    <n v="94.5"/>
    <x v="71"/>
    <d v="2025-03-16T00:00:00"/>
    <s v="M"/>
    <x v="1"/>
    <x v="1"/>
    <x v="0"/>
    <x v="3"/>
    <x v="2"/>
    <x v="10"/>
    <x v="1"/>
  </r>
  <r>
    <x v="1958"/>
    <x v="10"/>
    <x v="2"/>
    <n v="58.4"/>
    <n v="175.2"/>
    <x v="71"/>
    <d v="2025-03-15T00:00:00"/>
    <s v="F"/>
    <x v="1"/>
    <x v="2"/>
    <x v="0"/>
    <x v="3"/>
    <x v="1"/>
    <x v="10"/>
    <x v="2"/>
  </r>
  <r>
    <x v="1959"/>
    <x v="7"/>
    <x v="15"/>
    <n v="42.2"/>
    <n v="548.6"/>
    <x v="71"/>
    <d v="2025-03-13T00:00:00"/>
    <s v="M"/>
    <x v="0"/>
    <x v="0"/>
    <x v="0"/>
    <x v="25"/>
    <x v="7"/>
    <x v="10"/>
    <x v="1"/>
  </r>
  <r>
    <x v="1960"/>
    <x v="6"/>
    <x v="1"/>
    <n v="152.19999999999999"/>
    <n v="304.39999999999998"/>
    <x v="71"/>
    <d v="2025-03-14T00:00:00"/>
    <s v="M"/>
    <x v="4"/>
    <x v="1"/>
    <x v="0"/>
    <x v="25"/>
    <x v="3"/>
    <x v="10"/>
    <x v="1"/>
  </r>
  <r>
    <x v="1961"/>
    <x v="6"/>
    <x v="25"/>
    <n v="72"/>
    <n v="1728"/>
    <x v="71"/>
    <d v="2025-03-14T00:00:00"/>
    <s v="M"/>
    <x v="0"/>
    <x v="1"/>
    <x v="0"/>
    <x v="6"/>
    <x v="3"/>
    <x v="10"/>
    <x v="1"/>
  </r>
  <r>
    <x v="1962"/>
    <x v="1"/>
    <x v="44"/>
    <n v="70.900000000000006"/>
    <n v="1630.7"/>
    <x v="71"/>
    <d v="2025-03-14T00:00:00"/>
    <s v="F"/>
    <x v="2"/>
    <x v="0"/>
    <x v="0"/>
    <x v="8"/>
    <x v="3"/>
    <x v="10"/>
    <x v="2"/>
  </r>
  <r>
    <x v="1963"/>
    <x v="2"/>
    <x v="1"/>
    <n v="53.7"/>
    <n v="107.4"/>
    <x v="71"/>
    <d v="2025-03-14T00:00:00"/>
    <s v="M"/>
    <x v="2"/>
    <x v="2"/>
    <x v="0"/>
    <x v="8"/>
    <x v="3"/>
    <x v="10"/>
    <x v="1"/>
  </r>
  <r>
    <x v="1964"/>
    <x v="9"/>
    <x v="12"/>
    <n v="42.9"/>
    <n v="171.6"/>
    <x v="71"/>
    <d v="2025-03-14T00:00:00"/>
    <s v="F"/>
    <x v="2"/>
    <x v="4"/>
    <x v="0"/>
    <x v="9"/>
    <x v="3"/>
    <x v="10"/>
    <x v="2"/>
  </r>
  <r>
    <x v="1965"/>
    <x v="2"/>
    <x v="3"/>
    <n v="107.5"/>
    <n v="752.5"/>
    <x v="71"/>
    <d v="2025-03-14T00:00:00"/>
    <s v="M"/>
    <x v="1"/>
    <x v="0"/>
    <x v="0"/>
    <x v="11"/>
    <x v="3"/>
    <x v="10"/>
    <x v="1"/>
  </r>
  <r>
    <x v="1966"/>
    <x v="17"/>
    <x v="27"/>
    <n v="21.5"/>
    <n v="344"/>
    <x v="71"/>
    <d v="2025-03-14T00:00:00"/>
    <s v="M"/>
    <x v="1"/>
    <x v="1"/>
    <x v="0"/>
    <x v="32"/>
    <x v="3"/>
    <x v="10"/>
    <x v="1"/>
  </r>
  <r>
    <x v="1967"/>
    <x v="3"/>
    <x v="9"/>
    <n v="85.3"/>
    <n v="426.5"/>
    <x v="71"/>
    <d v="2025-03-15T00:00:00"/>
    <s v="F"/>
    <x v="3"/>
    <x v="0"/>
    <x v="0"/>
    <x v="18"/>
    <x v="1"/>
    <x v="10"/>
    <x v="2"/>
  </r>
  <r>
    <x v="1968"/>
    <x v="7"/>
    <x v="9"/>
    <n v="80.8"/>
    <n v="404"/>
    <x v="71"/>
    <d v="2025-03-21T00:00:00"/>
    <s v="O"/>
    <x v="1"/>
    <x v="1"/>
    <x v="0"/>
    <x v="19"/>
    <x v="9"/>
    <x v="10"/>
    <x v="3"/>
  </r>
  <r>
    <x v="1969"/>
    <x v="2"/>
    <x v="2"/>
    <n v="123.1"/>
    <n v="369.29999999999995"/>
    <x v="71"/>
    <d v="2025-03-15T00:00:00"/>
    <s v=""/>
    <x v="2"/>
    <x v="0"/>
    <x v="0"/>
    <x v="21"/>
    <x v="1"/>
    <x v="10"/>
    <x v="0"/>
  </r>
  <r>
    <x v="1970"/>
    <x v="8"/>
    <x v="1"/>
    <n v="36.9"/>
    <n v="73.8"/>
    <x v="71"/>
    <d v="2025-03-15T00:00:00"/>
    <s v="F"/>
    <x v="2"/>
    <x v="4"/>
    <x v="0"/>
    <x v="51"/>
    <x v="1"/>
    <x v="10"/>
    <x v="2"/>
  </r>
  <r>
    <x v="1971"/>
    <x v="11"/>
    <x v="9"/>
    <n v="40"/>
    <n v="200"/>
    <x v="71"/>
    <d v="2025-03-14T00:00:00"/>
    <s v="M"/>
    <x v="0"/>
    <x v="0"/>
    <x v="0"/>
    <x v="1"/>
    <x v="3"/>
    <x v="10"/>
    <x v="1"/>
  </r>
  <r>
    <x v="1972"/>
    <x v="6"/>
    <x v="2"/>
    <n v="55.5"/>
    <n v="166.5"/>
    <x v="71"/>
    <d v="2025-03-14T00:00:00"/>
    <s v="M"/>
    <x v="4"/>
    <x v="2"/>
    <x v="0"/>
    <x v="1"/>
    <x v="3"/>
    <x v="10"/>
    <x v="1"/>
  </r>
  <r>
    <x v="1973"/>
    <x v="0"/>
    <x v="12"/>
    <n v="20.5"/>
    <n v="82"/>
    <x v="71"/>
    <d v="2025-03-17T00:00:00"/>
    <s v="F"/>
    <x v="4"/>
    <x v="0"/>
    <x v="0"/>
    <x v="1"/>
    <x v="5"/>
    <x v="10"/>
    <x v="2"/>
  </r>
  <r>
    <x v="1974"/>
    <x v="18"/>
    <x v="12"/>
    <n v="50.1"/>
    <n v="200.4"/>
    <x v="71"/>
    <d v="2025-03-14T00:00:00"/>
    <s v="F"/>
    <x v="4"/>
    <x v="0"/>
    <x v="0"/>
    <x v="1"/>
    <x v="3"/>
    <x v="10"/>
    <x v="2"/>
  </r>
  <r>
    <x v="1975"/>
    <x v="9"/>
    <x v="0"/>
    <n v="35.9"/>
    <n v="35.9"/>
    <x v="71"/>
    <d v="2025-03-15T00:00:00"/>
    <s v="M"/>
    <x v="1"/>
    <x v="2"/>
    <x v="0"/>
    <x v="1"/>
    <x v="1"/>
    <x v="10"/>
    <x v="1"/>
  </r>
  <r>
    <x v="1976"/>
    <x v="13"/>
    <x v="12"/>
    <n v="29.4"/>
    <n v="117.6"/>
    <x v="72"/>
    <d v="2025-03-15T00:00:00"/>
    <s v="M"/>
    <x v="2"/>
    <x v="2"/>
    <x v="0"/>
    <x v="33"/>
    <x v="3"/>
    <x v="10"/>
    <x v="1"/>
  </r>
  <r>
    <x v="1977"/>
    <x v="8"/>
    <x v="9"/>
    <n v="29.1"/>
    <n v="145.5"/>
    <x v="72"/>
    <d v="2025-03-22T00:00:00"/>
    <s v="O"/>
    <x v="2"/>
    <x v="1"/>
    <x v="0"/>
    <x v="33"/>
    <x v="9"/>
    <x v="10"/>
    <x v="3"/>
  </r>
  <r>
    <x v="1978"/>
    <x v="8"/>
    <x v="2"/>
    <n v="33.5"/>
    <n v="100.5"/>
    <x v="72"/>
    <d v="2025-03-26T00:00:00"/>
    <s v="M"/>
    <x v="0"/>
    <x v="2"/>
    <x v="0"/>
    <x v="22"/>
    <x v="13"/>
    <x v="10"/>
    <x v="1"/>
  </r>
  <r>
    <x v="1979"/>
    <x v="4"/>
    <x v="7"/>
    <n v="36"/>
    <n v="360"/>
    <x v="72"/>
    <d v="2025-03-14T00:00:00"/>
    <s v="M"/>
    <x v="3"/>
    <x v="2"/>
    <x v="0"/>
    <x v="3"/>
    <x v="7"/>
    <x v="10"/>
    <x v="1"/>
  </r>
  <r>
    <x v="1980"/>
    <x v="16"/>
    <x v="2"/>
    <n v="57.3"/>
    <n v="171.89999999999998"/>
    <x v="72"/>
    <d v="2025-03-18T00:00:00"/>
    <s v="F"/>
    <x v="0"/>
    <x v="2"/>
    <x v="0"/>
    <x v="3"/>
    <x v="5"/>
    <x v="10"/>
    <x v="2"/>
  </r>
  <r>
    <x v="1981"/>
    <x v="1"/>
    <x v="0"/>
    <n v="81.400000000000006"/>
    <n v="81.400000000000006"/>
    <x v="72"/>
    <d v="2025-03-15T00:00:00"/>
    <s v="F"/>
    <x v="2"/>
    <x v="2"/>
    <x v="0"/>
    <x v="3"/>
    <x v="3"/>
    <x v="10"/>
    <x v="2"/>
  </r>
  <r>
    <x v="1982"/>
    <x v="10"/>
    <x v="1"/>
    <n v="35.299999999999997"/>
    <n v="70.599999999999994"/>
    <x v="72"/>
    <d v="2025-03-18T00:00:00"/>
    <s v="M"/>
    <x v="0"/>
    <x v="2"/>
    <x v="0"/>
    <x v="3"/>
    <x v="5"/>
    <x v="10"/>
    <x v="1"/>
  </r>
  <r>
    <x v="1983"/>
    <x v="3"/>
    <x v="0"/>
    <n v="36.1"/>
    <n v="36.1"/>
    <x v="72"/>
    <d v="2025-03-15T00:00:00"/>
    <s v="F"/>
    <x v="4"/>
    <x v="0"/>
    <x v="0"/>
    <x v="3"/>
    <x v="3"/>
    <x v="10"/>
    <x v="2"/>
  </r>
  <r>
    <x v="1984"/>
    <x v="1"/>
    <x v="1"/>
    <n v="36.700000000000003"/>
    <n v="73.400000000000006"/>
    <x v="72"/>
    <d v="2025-03-16T00:00:00"/>
    <s v="F"/>
    <x v="0"/>
    <x v="2"/>
    <x v="0"/>
    <x v="3"/>
    <x v="1"/>
    <x v="10"/>
    <x v="2"/>
  </r>
  <r>
    <x v="1985"/>
    <x v="10"/>
    <x v="0"/>
    <n v="20.9"/>
    <n v="20.9"/>
    <x v="72"/>
    <d v="2025-03-16T00:00:00"/>
    <s v="F"/>
    <x v="0"/>
    <x v="4"/>
    <x v="0"/>
    <x v="3"/>
    <x v="1"/>
    <x v="10"/>
    <x v="2"/>
  </r>
  <r>
    <x v="1986"/>
    <x v="12"/>
    <x v="2"/>
    <n v="58.8"/>
    <n v="176.39999999999998"/>
    <x v="72"/>
    <d v="2025-03-18T00:00:00"/>
    <s v="M"/>
    <x v="0"/>
    <x v="2"/>
    <x v="0"/>
    <x v="25"/>
    <x v="5"/>
    <x v="10"/>
    <x v="1"/>
  </r>
  <r>
    <x v="1987"/>
    <x v="2"/>
    <x v="2"/>
    <n v="97.6"/>
    <n v="292.79999999999995"/>
    <x v="73"/>
    <d v="2025-03-17T00:00:00"/>
    <s v=""/>
    <x v="0"/>
    <x v="0"/>
    <x v="0"/>
    <x v="6"/>
    <x v="1"/>
    <x v="10"/>
    <x v="0"/>
  </r>
  <r>
    <x v="1988"/>
    <x v="1"/>
    <x v="1"/>
    <n v="58.7"/>
    <n v="117.4"/>
    <x v="73"/>
    <d v="2025-03-18T00:00:00"/>
    <s v="F"/>
    <x v="0"/>
    <x v="1"/>
    <x v="0"/>
    <x v="6"/>
    <x v="2"/>
    <x v="10"/>
    <x v="2"/>
  </r>
  <r>
    <x v="1989"/>
    <x v="6"/>
    <x v="9"/>
    <n v="71.900000000000006"/>
    <n v="359.5"/>
    <x v="73"/>
    <d v="2025-03-16T00:00:00"/>
    <s v=""/>
    <x v="0"/>
    <x v="1"/>
    <x v="0"/>
    <x v="6"/>
    <x v="3"/>
    <x v="10"/>
    <x v="0"/>
  </r>
  <r>
    <x v="1990"/>
    <x v="1"/>
    <x v="1"/>
    <n v="62.4"/>
    <n v="124.8"/>
    <x v="73"/>
    <d v="2025-03-17T00:00:00"/>
    <s v=""/>
    <x v="0"/>
    <x v="1"/>
    <x v="0"/>
    <x v="8"/>
    <x v="1"/>
    <x v="10"/>
    <x v="0"/>
  </r>
  <r>
    <x v="1991"/>
    <x v="6"/>
    <x v="27"/>
    <n v="53.8"/>
    <n v="860.8"/>
    <x v="73"/>
    <d v="2025-03-16T00:00:00"/>
    <s v="F"/>
    <x v="1"/>
    <x v="0"/>
    <x v="0"/>
    <x v="8"/>
    <x v="3"/>
    <x v="10"/>
    <x v="2"/>
  </r>
  <r>
    <x v="1992"/>
    <x v="9"/>
    <x v="0"/>
    <n v="43.8"/>
    <n v="43.8"/>
    <x v="73"/>
    <d v="2025-03-22T00:00:00"/>
    <s v="F"/>
    <x v="0"/>
    <x v="2"/>
    <x v="0"/>
    <x v="8"/>
    <x v="6"/>
    <x v="10"/>
    <x v="2"/>
  </r>
  <r>
    <x v="1993"/>
    <x v="5"/>
    <x v="2"/>
    <n v="53.6"/>
    <n v="160.80000000000001"/>
    <x v="73"/>
    <d v="2025-03-16T00:00:00"/>
    <s v="M"/>
    <x v="3"/>
    <x v="0"/>
    <x v="0"/>
    <x v="8"/>
    <x v="3"/>
    <x v="10"/>
    <x v="1"/>
  </r>
  <r>
    <x v="1994"/>
    <x v="12"/>
    <x v="1"/>
    <n v="84.3"/>
    <n v="168.6"/>
    <x v="73"/>
    <d v="2025-03-18T00:00:00"/>
    <s v="M"/>
    <x v="4"/>
    <x v="1"/>
    <x v="0"/>
    <x v="8"/>
    <x v="2"/>
    <x v="10"/>
    <x v="1"/>
  </r>
  <r>
    <x v="1995"/>
    <x v="6"/>
    <x v="11"/>
    <n v="117.9"/>
    <n v="1061.1000000000001"/>
    <x v="73"/>
    <d v="2025-03-16T00:00:00"/>
    <s v="F"/>
    <x v="1"/>
    <x v="2"/>
    <x v="0"/>
    <x v="8"/>
    <x v="3"/>
    <x v="10"/>
    <x v="2"/>
  </r>
  <r>
    <x v="1996"/>
    <x v="4"/>
    <x v="8"/>
    <n v="30"/>
    <n v="240"/>
    <x v="73"/>
    <d v="2025-03-16T00:00:00"/>
    <s v="F"/>
    <x v="1"/>
    <x v="0"/>
    <x v="0"/>
    <x v="26"/>
    <x v="3"/>
    <x v="10"/>
    <x v="2"/>
  </r>
  <r>
    <x v="1997"/>
    <x v="14"/>
    <x v="2"/>
    <n v="37.299999999999997"/>
    <n v="111.89999999999999"/>
    <x v="73"/>
    <d v="2025-03-16T00:00:00"/>
    <s v="M"/>
    <x v="2"/>
    <x v="0"/>
    <x v="0"/>
    <x v="9"/>
    <x v="3"/>
    <x v="10"/>
    <x v="1"/>
  </r>
  <r>
    <x v="1998"/>
    <x v="4"/>
    <x v="11"/>
    <n v="25.1"/>
    <n v="225.9"/>
    <x v="73"/>
    <d v="2025-03-17T00:00:00"/>
    <s v="M"/>
    <x v="1"/>
    <x v="2"/>
    <x v="0"/>
    <x v="11"/>
    <x v="1"/>
    <x v="10"/>
    <x v="1"/>
  </r>
  <r>
    <x v="1999"/>
    <x v="8"/>
    <x v="5"/>
    <n v="36"/>
    <n v="396"/>
    <x v="73"/>
    <d v="2025-03-25T00:00:00"/>
    <s v="M"/>
    <x v="1"/>
    <x v="0"/>
    <x v="0"/>
    <x v="18"/>
    <x v="14"/>
    <x v="10"/>
    <x v="1"/>
  </r>
  <r>
    <x v="2000"/>
    <x v="16"/>
    <x v="2"/>
    <n v="48.5"/>
    <n v="145.5"/>
    <x v="73"/>
    <d v="2025-03-19T00:00:00"/>
    <s v="F"/>
    <x v="1"/>
    <x v="0"/>
    <x v="0"/>
    <x v="19"/>
    <x v="5"/>
    <x v="10"/>
    <x v="2"/>
  </r>
  <r>
    <x v="2001"/>
    <x v="17"/>
    <x v="13"/>
    <n v="21.1"/>
    <n v="126.60000000000001"/>
    <x v="73"/>
    <d v="2025-03-16T00:00:00"/>
    <s v="M"/>
    <x v="1"/>
    <x v="2"/>
    <x v="0"/>
    <x v="21"/>
    <x v="3"/>
    <x v="10"/>
    <x v="1"/>
  </r>
  <r>
    <x v="2002"/>
    <x v="15"/>
    <x v="21"/>
    <n v="43.2"/>
    <n v="604.80000000000007"/>
    <x v="73"/>
    <d v="2025-03-16T00:00:00"/>
    <s v="O"/>
    <x v="0"/>
    <x v="1"/>
    <x v="0"/>
    <x v="21"/>
    <x v="3"/>
    <x v="10"/>
    <x v="3"/>
  </r>
  <r>
    <x v="2003"/>
    <x v="9"/>
    <x v="1"/>
    <n v="21.1"/>
    <n v="42.2"/>
    <x v="73"/>
    <d v="2025-03-16T00:00:00"/>
    <s v=""/>
    <x v="3"/>
    <x v="1"/>
    <x v="0"/>
    <x v="21"/>
    <x v="3"/>
    <x v="10"/>
    <x v="0"/>
  </r>
  <r>
    <x v="2004"/>
    <x v="6"/>
    <x v="12"/>
    <n v="41.3"/>
    <n v="165.2"/>
    <x v="73"/>
    <d v="2025-03-17T00:00:00"/>
    <s v="F"/>
    <x v="3"/>
    <x v="2"/>
    <x v="0"/>
    <x v="1"/>
    <x v="1"/>
    <x v="10"/>
    <x v="2"/>
  </r>
  <r>
    <x v="2005"/>
    <x v="8"/>
    <x v="1"/>
    <n v="15.3"/>
    <n v="30.6"/>
    <x v="73"/>
    <d v="2025-03-18T00:00:00"/>
    <s v=""/>
    <x v="2"/>
    <x v="2"/>
    <x v="0"/>
    <x v="1"/>
    <x v="2"/>
    <x v="10"/>
    <x v="0"/>
  </r>
  <r>
    <x v="2006"/>
    <x v="1"/>
    <x v="0"/>
    <n v="54.6"/>
    <n v="54.6"/>
    <x v="73"/>
    <d v="2025-03-17T00:00:00"/>
    <s v="M"/>
    <x v="1"/>
    <x v="1"/>
    <x v="0"/>
    <x v="2"/>
    <x v="1"/>
    <x v="10"/>
    <x v="1"/>
  </r>
  <r>
    <x v="2007"/>
    <x v="8"/>
    <x v="0"/>
    <n v="15.9"/>
    <n v="15.9"/>
    <x v="73"/>
    <d v="2025-03-16T00:00:00"/>
    <s v="M"/>
    <x v="0"/>
    <x v="1"/>
    <x v="0"/>
    <x v="22"/>
    <x v="3"/>
    <x v="10"/>
    <x v="1"/>
  </r>
  <r>
    <x v="2008"/>
    <x v="9"/>
    <x v="0"/>
    <n v="50.2"/>
    <n v="50.2"/>
    <x v="73"/>
    <d v="2025-03-17T00:00:00"/>
    <s v="F"/>
    <x v="3"/>
    <x v="2"/>
    <x v="0"/>
    <x v="34"/>
    <x v="1"/>
    <x v="10"/>
    <x v="2"/>
  </r>
  <r>
    <x v="2009"/>
    <x v="11"/>
    <x v="12"/>
    <n v="85.1"/>
    <n v="340.4"/>
    <x v="73"/>
    <d v="2025-03-16T00:00:00"/>
    <s v="F"/>
    <x v="3"/>
    <x v="4"/>
    <x v="0"/>
    <x v="34"/>
    <x v="3"/>
    <x v="10"/>
    <x v="2"/>
  </r>
  <r>
    <x v="2010"/>
    <x v="11"/>
    <x v="1"/>
    <n v="41.4"/>
    <n v="82.8"/>
    <x v="73"/>
    <d v="2025-03-16T00:00:00"/>
    <s v="F"/>
    <x v="0"/>
    <x v="2"/>
    <x v="0"/>
    <x v="3"/>
    <x v="3"/>
    <x v="10"/>
    <x v="2"/>
  </r>
  <r>
    <x v="2011"/>
    <x v="4"/>
    <x v="3"/>
    <n v="32.700000000000003"/>
    <n v="228.90000000000003"/>
    <x v="73"/>
    <d v="2025-03-16T00:00:00"/>
    <s v="F"/>
    <x v="2"/>
    <x v="1"/>
    <x v="0"/>
    <x v="3"/>
    <x v="3"/>
    <x v="10"/>
    <x v="2"/>
  </r>
  <r>
    <x v="2012"/>
    <x v="4"/>
    <x v="1"/>
    <n v="41.6"/>
    <n v="83.2"/>
    <x v="73"/>
    <d v="2025-03-17T00:00:00"/>
    <s v="M"/>
    <x v="4"/>
    <x v="1"/>
    <x v="0"/>
    <x v="3"/>
    <x v="1"/>
    <x v="10"/>
    <x v="1"/>
  </r>
  <r>
    <x v="2013"/>
    <x v="5"/>
    <x v="12"/>
    <n v="64.8"/>
    <n v="259.2"/>
    <x v="73"/>
    <d v="2025-03-16T00:00:00"/>
    <s v=""/>
    <x v="2"/>
    <x v="0"/>
    <x v="0"/>
    <x v="3"/>
    <x v="3"/>
    <x v="10"/>
    <x v="0"/>
  </r>
  <r>
    <x v="2014"/>
    <x v="15"/>
    <x v="1"/>
    <n v="33.6"/>
    <n v="67.2"/>
    <x v="73"/>
    <d v="2025-03-16T00:00:00"/>
    <s v="M"/>
    <x v="0"/>
    <x v="2"/>
    <x v="0"/>
    <x v="3"/>
    <x v="3"/>
    <x v="10"/>
    <x v="1"/>
  </r>
  <r>
    <x v="2015"/>
    <x v="6"/>
    <x v="2"/>
    <n v="100.7"/>
    <n v="302.10000000000002"/>
    <x v="73"/>
    <d v="2025-03-16T00:00:00"/>
    <s v=""/>
    <x v="1"/>
    <x v="0"/>
    <x v="0"/>
    <x v="3"/>
    <x v="3"/>
    <x v="10"/>
    <x v="0"/>
  </r>
  <r>
    <x v="2016"/>
    <x v="4"/>
    <x v="1"/>
    <n v="49.3"/>
    <n v="98.6"/>
    <x v="74"/>
    <d v="2025-03-18T00:00:00"/>
    <s v="F"/>
    <x v="4"/>
    <x v="2"/>
    <x v="0"/>
    <x v="3"/>
    <x v="1"/>
    <x v="11"/>
    <x v="2"/>
  </r>
  <r>
    <x v="2017"/>
    <x v="2"/>
    <x v="13"/>
    <n v="97"/>
    <n v="582"/>
    <x v="74"/>
    <d v="2025-03-19T00:00:00"/>
    <s v="M"/>
    <x v="2"/>
    <x v="2"/>
    <x v="0"/>
    <x v="3"/>
    <x v="2"/>
    <x v="11"/>
    <x v="1"/>
  </r>
  <r>
    <x v="2018"/>
    <x v="0"/>
    <x v="13"/>
    <n v="25.2"/>
    <n v="151.19999999999999"/>
    <x v="74"/>
    <d v="2025-03-19T00:00:00"/>
    <s v="F"/>
    <x v="4"/>
    <x v="2"/>
    <x v="0"/>
    <x v="3"/>
    <x v="2"/>
    <x v="11"/>
    <x v="2"/>
  </r>
  <r>
    <x v="2019"/>
    <x v="0"/>
    <x v="5"/>
    <n v="12.2"/>
    <n v="134.19999999999999"/>
    <x v="74"/>
    <d v="2025-03-17T00:00:00"/>
    <s v=""/>
    <x v="0"/>
    <x v="1"/>
    <x v="0"/>
    <x v="3"/>
    <x v="3"/>
    <x v="11"/>
    <x v="0"/>
  </r>
  <r>
    <x v="2020"/>
    <x v="8"/>
    <x v="3"/>
    <n v="38.799999999999997"/>
    <n v="271.59999999999997"/>
    <x v="74"/>
    <d v="2025-03-18T00:00:00"/>
    <s v="F"/>
    <x v="1"/>
    <x v="1"/>
    <x v="0"/>
    <x v="23"/>
    <x v="1"/>
    <x v="11"/>
    <x v="2"/>
  </r>
  <r>
    <x v="2021"/>
    <x v="2"/>
    <x v="12"/>
    <n v="53.2"/>
    <n v="212.8"/>
    <x v="74"/>
    <d v="2025-03-17T00:00:00"/>
    <s v="M"/>
    <x v="0"/>
    <x v="2"/>
    <x v="0"/>
    <x v="8"/>
    <x v="3"/>
    <x v="11"/>
    <x v="1"/>
  </r>
  <r>
    <x v="2022"/>
    <x v="6"/>
    <x v="3"/>
    <n v="151"/>
    <n v="1057"/>
    <x v="74"/>
    <d v="2025-03-17T00:00:00"/>
    <s v="O"/>
    <x v="1"/>
    <x v="1"/>
    <x v="0"/>
    <x v="8"/>
    <x v="3"/>
    <x v="11"/>
    <x v="3"/>
  </r>
  <r>
    <x v="2023"/>
    <x v="1"/>
    <x v="1"/>
    <n v="37.1"/>
    <n v="74.2"/>
    <x v="74"/>
    <d v="2025-03-17T00:00:00"/>
    <s v="F"/>
    <x v="4"/>
    <x v="0"/>
    <x v="0"/>
    <x v="8"/>
    <x v="3"/>
    <x v="11"/>
    <x v="2"/>
  </r>
  <r>
    <x v="2024"/>
    <x v="5"/>
    <x v="1"/>
    <n v="38.9"/>
    <n v="77.8"/>
    <x v="74"/>
    <d v="2025-03-17T00:00:00"/>
    <s v="M"/>
    <x v="4"/>
    <x v="0"/>
    <x v="0"/>
    <x v="8"/>
    <x v="3"/>
    <x v="11"/>
    <x v="1"/>
  </r>
  <r>
    <x v="2025"/>
    <x v="10"/>
    <x v="1"/>
    <n v="35.200000000000003"/>
    <n v="70.400000000000006"/>
    <x v="74"/>
    <d v="2025-03-17T00:00:00"/>
    <s v="M"/>
    <x v="0"/>
    <x v="2"/>
    <x v="0"/>
    <x v="17"/>
    <x v="3"/>
    <x v="11"/>
    <x v="1"/>
  </r>
  <r>
    <x v="2026"/>
    <x v="0"/>
    <x v="1"/>
    <n v="22.3"/>
    <n v="44.6"/>
    <x v="74"/>
    <d v="2025-03-18T00:00:00"/>
    <s v="F"/>
    <x v="1"/>
    <x v="0"/>
    <x v="0"/>
    <x v="9"/>
    <x v="1"/>
    <x v="11"/>
    <x v="2"/>
  </r>
  <r>
    <x v="2027"/>
    <x v="9"/>
    <x v="0"/>
    <n v="43.3"/>
    <n v="43.3"/>
    <x v="74"/>
    <d v="2025-03-19T00:00:00"/>
    <s v="F"/>
    <x v="0"/>
    <x v="2"/>
    <x v="0"/>
    <x v="11"/>
    <x v="2"/>
    <x v="11"/>
    <x v="2"/>
  </r>
  <r>
    <x v="2028"/>
    <x v="6"/>
    <x v="13"/>
    <n v="75.900000000000006"/>
    <n v="455.40000000000003"/>
    <x v="74"/>
    <d v="2025-03-22T00:00:00"/>
    <s v="M"/>
    <x v="0"/>
    <x v="0"/>
    <x v="0"/>
    <x v="11"/>
    <x v="4"/>
    <x v="11"/>
    <x v="1"/>
  </r>
  <r>
    <x v="2029"/>
    <x v="6"/>
    <x v="2"/>
    <n v="78.7"/>
    <n v="236.10000000000002"/>
    <x v="74"/>
    <d v="2025-03-20T00:00:00"/>
    <s v="F"/>
    <x v="2"/>
    <x v="1"/>
    <x v="0"/>
    <x v="11"/>
    <x v="5"/>
    <x v="11"/>
    <x v="2"/>
  </r>
  <r>
    <x v="2030"/>
    <x v="1"/>
    <x v="0"/>
    <n v="66.3"/>
    <n v="66.3"/>
    <x v="74"/>
    <d v="2025-03-20T00:00:00"/>
    <s v="F"/>
    <x v="0"/>
    <x v="2"/>
    <x v="0"/>
    <x v="19"/>
    <x v="5"/>
    <x v="11"/>
    <x v="2"/>
  </r>
  <r>
    <x v="2031"/>
    <x v="8"/>
    <x v="1"/>
    <n v="33.6"/>
    <n v="67.2"/>
    <x v="74"/>
    <d v="2025-03-16T00:00:00"/>
    <s v="M"/>
    <x v="0"/>
    <x v="1"/>
    <x v="0"/>
    <x v="19"/>
    <x v="7"/>
    <x v="11"/>
    <x v="1"/>
  </r>
  <r>
    <x v="2032"/>
    <x v="2"/>
    <x v="3"/>
    <n v="61.4"/>
    <n v="429.8"/>
    <x v="74"/>
    <d v="2025-03-17T00:00:00"/>
    <s v="M"/>
    <x v="4"/>
    <x v="0"/>
    <x v="0"/>
    <x v="19"/>
    <x v="3"/>
    <x v="11"/>
    <x v="1"/>
  </r>
  <r>
    <x v="2033"/>
    <x v="8"/>
    <x v="1"/>
    <n v="17.5"/>
    <n v="35"/>
    <x v="74"/>
    <d v="2025-03-19T00:00:00"/>
    <s v="F"/>
    <x v="0"/>
    <x v="0"/>
    <x v="0"/>
    <x v="21"/>
    <x v="2"/>
    <x v="11"/>
    <x v="2"/>
  </r>
  <r>
    <x v="2034"/>
    <x v="8"/>
    <x v="1"/>
    <n v="32.5"/>
    <n v="65"/>
    <x v="74"/>
    <d v="2025-03-19T00:00:00"/>
    <s v="F"/>
    <x v="1"/>
    <x v="0"/>
    <x v="0"/>
    <x v="21"/>
    <x v="2"/>
    <x v="11"/>
    <x v="2"/>
  </r>
  <r>
    <x v="2035"/>
    <x v="4"/>
    <x v="0"/>
    <n v="34.6"/>
    <n v="34.6"/>
    <x v="74"/>
    <d v="2025-03-17T00:00:00"/>
    <s v="F"/>
    <x v="4"/>
    <x v="0"/>
    <x v="0"/>
    <x v="21"/>
    <x v="3"/>
    <x v="11"/>
    <x v="2"/>
  </r>
  <r>
    <x v="2036"/>
    <x v="2"/>
    <x v="0"/>
    <n v="75.900000000000006"/>
    <n v="75.900000000000006"/>
    <x v="74"/>
    <d v="2025-03-16T00:00:00"/>
    <s v="M"/>
    <x v="1"/>
    <x v="2"/>
    <x v="0"/>
    <x v="21"/>
    <x v="7"/>
    <x v="11"/>
    <x v="1"/>
  </r>
  <r>
    <x v="2037"/>
    <x v="1"/>
    <x v="2"/>
    <n v="42.1"/>
    <n v="126.30000000000001"/>
    <x v="74"/>
    <d v="2025-03-19T00:00:00"/>
    <s v="M"/>
    <x v="1"/>
    <x v="1"/>
    <x v="0"/>
    <x v="21"/>
    <x v="2"/>
    <x v="11"/>
    <x v="1"/>
  </r>
  <r>
    <x v="2038"/>
    <x v="7"/>
    <x v="2"/>
    <n v="65.3"/>
    <n v="195.89999999999998"/>
    <x v="74"/>
    <d v="2025-03-23T00:00:00"/>
    <s v="M"/>
    <x v="0"/>
    <x v="0"/>
    <x v="0"/>
    <x v="1"/>
    <x v="6"/>
    <x v="11"/>
    <x v="1"/>
  </r>
  <r>
    <x v="2039"/>
    <x v="15"/>
    <x v="0"/>
    <n v="20.6"/>
    <n v="20.6"/>
    <x v="74"/>
    <d v="2025-03-19T00:00:00"/>
    <s v="M"/>
    <x v="3"/>
    <x v="0"/>
    <x v="0"/>
    <x v="42"/>
    <x v="2"/>
    <x v="11"/>
    <x v="1"/>
  </r>
  <r>
    <x v="2040"/>
    <x v="8"/>
    <x v="3"/>
    <n v="16.5"/>
    <n v="115.5"/>
    <x v="74"/>
    <d v="2025-03-17T00:00:00"/>
    <s v="M"/>
    <x v="1"/>
    <x v="1"/>
    <x v="0"/>
    <x v="2"/>
    <x v="3"/>
    <x v="11"/>
    <x v="1"/>
  </r>
  <r>
    <x v="2041"/>
    <x v="16"/>
    <x v="7"/>
    <n v="36.200000000000003"/>
    <n v="362"/>
    <x v="74"/>
    <d v="2025-03-18T00:00:00"/>
    <s v="M"/>
    <x v="0"/>
    <x v="2"/>
    <x v="0"/>
    <x v="2"/>
    <x v="1"/>
    <x v="11"/>
    <x v="1"/>
  </r>
  <r>
    <x v="2042"/>
    <x v="6"/>
    <x v="0"/>
    <n v="53.2"/>
    <n v="53.2"/>
    <x v="74"/>
    <d v="2025-03-17T00:00:00"/>
    <s v="F"/>
    <x v="0"/>
    <x v="1"/>
    <x v="0"/>
    <x v="22"/>
    <x v="3"/>
    <x v="11"/>
    <x v="2"/>
  </r>
  <r>
    <x v="2043"/>
    <x v="2"/>
    <x v="21"/>
    <n v="176"/>
    <n v="2464"/>
    <x v="74"/>
    <d v="2025-03-17T00:00:00"/>
    <s v="F"/>
    <x v="0"/>
    <x v="1"/>
    <x v="0"/>
    <x v="3"/>
    <x v="3"/>
    <x v="11"/>
    <x v="2"/>
  </r>
  <r>
    <x v="2044"/>
    <x v="1"/>
    <x v="0"/>
    <n v="52.4"/>
    <n v="52.4"/>
    <x v="74"/>
    <d v="2025-03-17T00:00:00"/>
    <s v="M"/>
    <x v="1"/>
    <x v="0"/>
    <x v="0"/>
    <x v="3"/>
    <x v="3"/>
    <x v="11"/>
    <x v="1"/>
  </r>
  <r>
    <x v="2045"/>
    <x v="10"/>
    <x v="2"/>
    <n v="48.2"/>
    <n v="144.60000000000002"/>
    <x v="74"/>
    <d v="2025-03-17T00:00:00"/>
    <s v="F"/>
    <x v="1"/>
    <x v="2"/>
    <x v="0"/>
    <x v="3"/>
    <x v="3"/>
    <x v="11"/>
    <x v="2"/>
  </r>
  <r>
    <x v="2046"/>
    <x v="15"/>
    <x v="0"/>
    <n v="51.6"/>
    <n v="51.6"/>
    <x v="74"/>
    <d v="2025-03-20T00:00:00"/>
    <s v="F"/>
    <x v="2"/>
    <x v="1"/>
    <x v="0"/>
    <x v="3"/>
    <x v="5"/>
    <x v="11"/>
    <x v="2"/>
  </r>
  <r>
    <x v="2047"/>
    <x v="0"/>
    <x v="12"/>
    <n v="33.700000000000003"/>
    <n v="134.80000000000001"/>
    <x v="75"/>
    <d v="2025-03-18T00:00:00"/>
    <s v="M"/>
    <x v="0"/>
    <x v="0"/>
    <x v="0"/>
    <x v="3"/>
    <x v="3"/>
    <x v="11"/>
    <x v="1"/>
  </r>
  <r>
    <x v="2048"/>
    <x v="4"/>
    <x v="7"/>
    <n v="36.299999999999997"/>
    <n v="363"/>
    <x v="75"/>
    <d v="2025-03-19T00:00:00"/>
    <s v="F"/>
    <x v="4"/>
    <x v="1"/>
    <x v="0"/>
    <x v="3"/>
    <x v="1"/>
    <x v="11"/>
    <x v="2"/>
  </r>
  <r>
    <x v="2049"/>
    <x v="8"/>
    <x v="0"/>
    <n v="23.4"/>
    <n v="23.4"/>
    <x v="75"/>
    <d v="2025-03-22T00:00:00"/>
    <s v="F"/>
    <x v="1"/>
    <x v="2"/>
    <x v="0"/>
    <x v="3"/>
    <x v="0"/>
    <x v="11"/>
    <x v="2"/>
  </r>
  <r>
    <x v="2050"/>
    <x v="15"/>
    <x v="8"/>
    <n v="56.6"/>
    <n v="452.8"/>
    <x v="75"/>
    <d v="2025-03-19T00:00:00"/>
    <s v="F"/>
    <x v="1"/>
    <x v="0"/>
    <x v="0"/>
    <x v="3"/>
    <x v="1"/>
    <x v="11"/>
    <x v="2"/>
  </r>
  <r>
    <x v="2051"/>
    <x v="15"/>
    <x v="1"/>
    <n v="26.8"/>
    <n v="53.6"/>
    <x v="75"/>
    <d v="2025-03-18T00:00:00"/>
    <s v="M"/>
    <x v="0"/>
    <x v="0"/>
    <x v="0"/>
    <x v="4"/>
    <x v="3"/>
    <x v="11"/>
    <x v="1"/>
  </r>
  <r>
    <x v="2052"/>
    <x v="0"/>
    <x v="2"/>
    <n v="11.3"/>
    <n v="33.900000000000006"/>
    <x v="75"/>
    <d v="2025-03-19T00:00:00"/>
    <s v="M"/>
    <x v="2"/>
    <x v="0"/>
    <x v="0"/>
    <x v="25"/>
    <x v="1"/>
    <x v="11"/>
    <x v="1"/>
  </r>
  <r>
    <x v="2053"/>
    <x v="6"/>
    <x v="2"/>
    <n v="60.1"/>
    <n v="180.3"/>
    <x v="75"/>
    <d v="2025-03-20T00:00:00"/>
    <s v="F"/>
    <x v="0"/>
    <x v="0"/>
    <x v="0"/>
    <x v="7"/>
    <x v="2"/>
    <x v="11"/>
    <x v="2"/>
  </r>
  <r>
    <x v="2054"/>
    <x v="0"/>
    <x v="5"/>
    <n v="27.7"/>
    <n v="304.7"/>
    <x v="75"/>
    <d v="2025-03-22T00:00:00"/>
    <s v="F"/>
    <x v="0"/>
    <x v="0"/>
    <x v="0"/>
    <x v="8"/>
    <x v="0"/>
    <x v="11"/>
    <x v="2"/>
  </r>
  <r>
    <x v="2055"/>
    <x v="15"/>
    <x v="0"/>
    <n v="71.400000000000006"/>
    <n v="71.400000000000006"/>
    <x v="75"/>
    <d v="2025-03-20T00:00:00"/>
    <s v="M"/>
    <x v="0"/>
    <x v="2"/>
    <x v="0"/>
    <x v="8"/>
    <x v="2"/>
    <x v="11"/>
    <x v="1"/>
  </r>
  <r>
    <x v="2056"/>
    <x v="2"/>
    <x v="1"/>
    <n v="66.7"/>
    <n v="133.4"/>
    <x v="75"/>
    <d v="2025-03-18T00:00:00"/>
    <s v="F"/>
    <x v="0"/>
    <x v="2"/>
    <x v="0"/>
    <x v="8"/>
    <x v="3"/>
    <x v="11"/>
    <x v="2"/>
  </r>
  <r>
    <x v="2057"/>
    <x v="13"/>
    <x v="9"/>
    <n v="39.1"/>
    <n v="195.5"/>
    <x v="75"/>
    <d v="2025-03-18T00:00:00"/>
    <s v="F"/>
    <x v="0"/>
    <x v="0"/>
    <x v="0"/>
    <x v="8"/>
    <x v="3"/>
    <x v="11"/>
    <x v="2"/>
  </r>
  <r>
    <x v="2058"/>
    <x v="8"/>
    <x v="12"/>
    <n v="24.9"/>
    <n v="99.6"/>
    <x v="75"/>
    <d v="2025-03-22T00:00:00"/>
    <s v="M"/>
    <x v="1"/>
    <x v="2"/>
    <x v="0"/>
    <x v="8"/>
    <x v="0"/>
    <x v="11"/>
    <x v="1"/>
  </r>
  <r>
    <x v="2059"/>
    <x v="5"/>
    <x v="9"/>
    <n v="29.2"/>
    <n v="146"/>
    <x v="75"/>
    <d v="2025-03-18T00:00:00"/>
    <s v="M"/>
    <x v="0"/>
    <x v="2"/>
    <x v="0"/>
    <x v="17"/>
    <x v="3"/>
    <x v="11"/>
    <x v="1"/>
  </r>
  <r>
    <x v="2060"/>
    <x v="13"/>
    <x v="21"/>
    <n v="28.3"/>
    <n v="396.2"/>
    <x v="75"/>
    <d v="2025-03-19T00:00:00"/>
    <s v="F"/>
    <x v="1"/>
    <x v="0"/>
    <x v="0"/>
    <x v="11"/>
    <x v="1"/>
    <x v="11"/>
    <x v="2"/>
  </r>
  <r>
    <x v="2061"/>
    <x v="9"/>
    <x v="2"/>
    <n v="37.799999999999997"/>
    <n v="113.39999999999999"/>
    <x v="75"/>
    <d v="2025-03-18T00:00:00"/>
    <s v="F"/>
    <x v="0"/>
    <x v="1"/>
    <x v="0"/>
    <x v="11"/>
    <x v="3"/>
    <x v="11"/>
    <x v="2"/>
  </r>
  <r>
    <x v="2062"/>
    <x v="14"/>
    <x v="3"/>
    <n v="28.1"/>
    <n v="196.70000000000002"/>
    <x v="75"/>
    <d v="2025-03-23T00:00:00"/>
    <s v="F"/>
    <x v="2"/>
    <x v="0"/>
    <x v="0"/>
    <x v="11"/>
    <x v="4"/>
    <x v="11"/>
    <x v="2"/>
  </r>
  <r>
    <x v="2063"/>
    <x v="1"/>
    <x v="2"/>
    <n v="59.7"/>
    <n v="179.10000000000002"/>
    <x v="75"/>
    <d v="2025-03-19T00:00:00"/>
    <s v="F"/>
    <x v="2"/>
    <x v="0"/>
    <x v="0"/>
    <x v="11"/>
    <x v="1"/>
    <x v="11"/>
    <x v="2"/>
  </r>
  <r>
    <x v="2064"/>
    <x v="16"/>
    <x v="0"/>
    <n v="71.900000000000006"/>
    <n v="71.900000000000006"/>
    <x v="75"/>
    <d v="2025-03-18T00:00:00"/>
    <s v="M"/>
    <x v="1"/>
    <x v="1"/>
    <x v="0"/>
    <x v="11"/>
    <x v="3"/>
    <x v="11"/>
    <x v="1"/>
  </r>
  <r>
    <x v="2065"/>
    <x v="1"/>
    <x v="1"/>
    <n v="56.9"/>
    <n v="113.8"/>
    <x v="75"/>
    <d v="2025-03-18T00:00:00"/>
    <s v="M"/>
    <x v="2"/>
    <x v="0"/>
    <x v="0"/>
    <x v="13"/>
    <x v="3"/>
    <x v="11"/>
    <x v="1"/>
  </r>
  <r>
    <x v="2066"/>
    <x v="8"/>
    <x v="1"/>
    <n v="15.8"/>
    <n v="31.6"/>
    <x v="75"/>
    <d v="2025-03-20T00:00:00"/>
    <s v="F"/>
    <x v="2"/>
    <x v="1"/>
    <x v="0"/>
    <x v="1"/>
    <x v="2"/>
    <x v="11"/>
    <x v="2"/>
  </r>
  <r>
    <x v="2067"/>
    <x v="11"/>
    <x v="12"/>
    <n v="61.7"/>
    <n v="246.8"/>
    <x v="75"/>
    <d v="2025-03-19T00:00:00"/>
    <s v="F"/>
    <x v="2"/>
    <x v="0"/>
    <x v="0"/>
    <x v="22"/>
    <x v="1"/>
    <x v="11"/>
    <x v="2"/>
  </r>
  <r>
    <x v="2068"/>
    <x v="2"/>
    <x v="7"/>
    <n v="105.2"/>
    <n v="1052"/>
    <x v="75"/>
    <d v="2025-03-19T00:00:00"/>
    <s v="M"/>
    <x v="1"/>
    <x v="4"/>
    <x v="0"/>
    <x v="3"/>
    <x v="1"/>
    <x v="11"/>
    <x v="1"/>
  </r>
  <r>
    <x v="2069"/>
    <x v="0"/>
    <x v="1"/>
    <n v="17"/>
    <n v="34"/>
    <x v="75"/>
    <d v="2025-03-19T00:00:00"/>
    <s v="F"/>
    <x v="2"/>
    <x v="0"/>
    <x v="0"/>
    <x v="3"/>
    <x v="1"/>
    <x v="11"/>
    <x v="2"/>
  </r>
  <r>
    <x v="2070"/>
    <x v="6"/>
    <x v="2"/>
    <n v="84.1"/>
    <n v="252.29999999999998"/>
    <x v="75"/>
    <d v="2025-03-18T00:00:00"/>
    <s v="M"/>
    <x v="2"/>
    <x v="0"/>
    <x v="0"/>
    <x v="3"/>
    <x v="3"/>
    <x v="11"/>
    <x v="1"/>
  </r>
  <r>
    <x v="2071"/>
    <x v="3"/>
    <x v="12"/>
    <n v="59.5"/>
    <n v="238"/>
    <x v="75"/>
    <d v="2025-03-22T00:00:00"/>
    <s v="M"/>
    <x v="0"/>
    <x v="2"/>
    <x v="0"/>
    <x v="3"/>
    <x v="0"/>
    <x v="11"/>
    <x v="1"/>
  </r>
  <r>
    <x v="2072"/>
    <x v="8"/>
    <x v="1"/>
    <n v="57.5"/>
    <n v="115"/>
    <x v="75"/>
    <d v="2025-03-19T00:00:00"/>
    <s v="M"/>
    <x v="1"/>
    <x v="2"/>
    <x v="0"/>
    <x v="3"/>
    <x v="1"/>
    <x v="11"/>
    <x v="1"/>
  </r>
  <r>
    <x v="2073"/>
    <x v="8"/>
    <x v="0"/>
    <n v="34.299999999999997"/>
    <n v="34.299999999999997"/>
    <x v="75"/>
    <d v="2025-03-18T00:00:00"/>
    <s v="F"/>
    <x v="4"/>
    <x v="2"/>
    <x v="0"/>
    <x v="3"/>
    <x v="3"/>
    <x v="11"/>
    <x v="2"/>
  </r>
  <r>
    <x v="2074"/>
    <x v="5"/>
    <x v="1"/>
    <n v="27.8"/>
    <n v="55.6"/>
    <x v="76"/>
    <d v="2025-03-20T00:00:00"/>
    <s v="F"/>
    <x v="0"/>
    <x v="0"/>
    <x v="0"/>
    <x v="3"/>
    <x v="1"/>
    <x v="11"/>
    <x v="2"/>
  </r>
  <r>
    <x v="2075"/>
    <x v="12"/>
    <x v="1"/>
    <n v="85"/>
    <n v="170"/>
    <x v="76"/>
    <d v="2025-03-18T00:00:00"/>
    <s v="M"/>
    <x v="2"/>
    <x v="2"/>
    <x v="0"/>
    <x v="3"/>
    <x v="7"/>
    <x v="11"/>
    <x v="1"/>
  </r>
  <r>
    <x v="2076"/>
    <x v="6"/>
    <x v="1"/>
    <n v="95"/>
    <n v="190"/>
    <x v="76"/>
    <d v="2025-03-20T00:00:00"/>
    <s v="F"/>
    <x v="0"/>
    <x v="0"/>
    <x v="0"/>
    <x v="3"/>
    <x v="1"/>
    <x v="11"/>
    <x v="2"/>
  </r>
  <r>
    <x v="2077"/>
    <x v="16"/>
    <x v="1"/>
    <n v="32"/>
    <n v="64"/>
    <x v="76"/>
    <d v="2025-03-20T00:00:00"/>
    <s v="M"/>
    <x v="0"/>
    <x v="1"/>
    <x v="0"/>
    <x v="3"/>
    <x v="1"/>
    <x v="11"/>
    <x v="1"/>
  </r>
  <r>
    <x v="2078"/>
    <x v="2"/>
    <x v="1"/>
    <n v="65.2"/>
    <n v="130.4"/>
    <x v="76"/>
    <d v="2025-03-19T00:00:00"/>
    <s v="F"/>
    <x v="1"/>
    <x v="0"/>
    <x v="0"/>
    <x v="3"/>
    <x v="3"/>
    <x v="11"/>
    <x v="2"/>
  </r>
  <r>
    <x v="2079"/>
    <x v="17"/>
    <x v="12"/>
    <n v="22"/>
    <n v="88"/>
    <x v="76"/>
    <d v="2025-03-19T00:00:00"/>
    <s v="M"/>
    <x v="1"/>
    <x v="2"/>
    <x v="0"/>
    <x v="3"/>
    <x v="3"/>
    <x v="11"/>
    <x v="1"/>
  </r>
  <r>
    <x v="2080"/>
    <x v="15"/>
    <x v="2"/>
    <n v="69.400000000000006"/>
    <n v="208.20000000000002"/>
    <x v="76"/>
    <d v="2025-03-21T00:00:00"/>
    <s v="M"/>
    <x v="1"/>
    <x v="2"/>
    <x v="0"/>
    <x v="3"/>
    <x v="2"/>
    <x v="11"/>
    <x v="1"/>
  </r>
  <r>
    <x v="2081"/>
    <x v="10"/>
    <x v="13"/>
    <n v="31.5"/>
    <n v="189"/>
    <x v="76"/>
    <d v="2025-03-20T00:00:00"/>
    <s v="F"/>
    <x v="0"/>
    <x v="2"/>
    <x v="0"/>
    <x v="3"/>
    <x v="1"/>
    <x v="11"/>
    <x v="2"/>
  </r>
  <r>
    <x v="2082"/>
    <x v="6"/>
    <x v="0"/>
    <n v="45.8"/>
    <n v="45.8"/>
    <x v="76"/>
    <d v="2025-03-22T00:00:00"/>
    <s v="O"/>
    <x v="0"/>
    <x v="0"/>
    <x v="0"/>
    <x v="3"/>
    <x v="5"/>
    <x v="11"/>
    <x v="3"/>
  </r>
  <r>
    <x v="2083"/>
    <x v="19"/>
    <x v="12"/>
    <n v="12.8"/>
    <n v="51.2"/>
    <x v="76"/>
    <d v="2025-03-25T00:00:00"/>
    <s v="F"/>
    <x v="1"/>
    <x v="1"/>
    <x v="0"/>
    <x v="5"/>
    <x v="6"/>
    <x v="11"/>
    <x v="2"/>
  </r>
  <r>
    <x v="2084"/>
    <x v="5"/>
    <x v="2"/>
    <n v="115.3"/>
    <n v="345.9"/>
    <x v="76"/>
    <d v="2025-03-19T00:00:00"/>
    <s v="F"/>
    <x v="2"/>
    <x v="2"/>
    <x v="0"/>
    <x v="6"/>
    <x v="3"/>
    <x v="11"/>
    <x v="2"/>
  </r>
  <r>
    <x v="2085"/>
    <x v="5"/>
    <x v="1"/>
    <n v="85"/>
    <n v="170"/>
    <x v="76"/>
    <d v="2025-03-20T00:00:00"/>
    <s v="F"/>
    <x v="1"/>
    <x v="0"/>
    <x v="0"/>
    <x v="7"/>
    <x v="1"/>
    <x v="11"/>
    <x v="2"/>
  </r>
  <r>
    <x v="2086"/>
    <x v="8"/>
    <x v="2"/>
    <n v="56.6"/>
    <n v="169.8"/>
    <x v="76"/>
    <d v="2025-03-19T00:00:00"/>
    <s v="F"/>
    <x v="1"/>
    <x v="2"/>
    <x v="0"/>
    <x v="7"/>
    <x v="3"/>
    <x v="11"/>
    <x v="2"/>
  </r>
  <r>
    <x v="2087"/>
    <x v="15"/>
    <x v="6"/>
    <n v="46.3"/>
    <n v="1250.0999999999999"/>
    <x v="76"/>
    <d v="2025-03-21T00:00:00"/>
    <s v="M"/>
    <x v="0"/>
    <x v="0"/>
    <x v="0"/>
    <x v="7"/>
    <x v="2"/>
    <x v="11"/>
    <x v="1"/>
  </r>
  <r>
    <x v="2088"/>
    <x v="14"/>
    <x v="12"/>
    <n v="23"/>
    <n v="92"/>
    <x v="76"/>
    <d v="2025-03-22T00:00:00"/>
    <s v="M"/>
    <x v="3"/>
    <x v="2"/>
    <x v="0"/>
    <x v="7"/>
    <x v="5"/>
    <x v="11"/>
    <x v="1"/>
  </r>
  <r>
    <x v="2089"/>
    <x v="8"/>
    <x v="13"/>
    <n v="42.1"/>
    <n v="252.60000000000002"/>
    <x v="76"/>
    <d v="2025-03-20T00:00:00"/>
    <s v="M"/>
    <x v="4"/>
    <x v="0"/>
    <x v="0"/>
    <x v="8"/>
    <x v="1"/>
    <x v="11"/>
    <x v="1"/>
  </r>
  <r>
    <x v="2090"/>
    <x v="5"/>
    <x v="3"/>
    <n v="57.4"/>
    <n v="401.8"/>
    <x v="76"/>
    <d v="2025-03-22T00:00:00"/>
    <s v="F"/>
    <x v="1"/>
    <x v="4"/>
    <x v="0"/>
    <x v="8"/>
    <x v="5"/>
    <x v="11"/>
    <x v="2"/>
  </r>
  <r>
    <x v="2091"/>
    <x v="0"/>
    <x v="13"/>
    <n v="13.2"/>
    <n v="79.199999999999989"/>
    <x v="76"/>
    <d v="2025-03-22T00:00:00"/>
    <s v="M"/>
    <x v="2"/>
    <x v="0"/>
    <x v="0"/>
    <x v="8"/>
    <x v="5"/>
    <x v="11"/>
    <x v="1"/>
  </r>
  <r>
    <x v="2092"/>
    <x v="6"/>
    <x v="2"/>
    <n v="52.3"/>
    <n v="156.89999999999998"/>
    <x v="76"/>
    <d v="2025-03-19T00:00:00"/>
    <s v="M"/>
    <x v="1"/>
    <x v="0"/>
    <x v="0"/>
    <x v="8"/>
    <x v="3"/>
    <x v="11"/>
    <x v="1"/>
  </r>
  <r>
    <x v="2093"/>
    <x v="8"/>
    <x v="1"/>
    <n v="15.7"/>
    <n v="31.4"/>
    <x v="76"/>
    <d v="2025-03-21T00:00:00"/>
    <s v="M"/>
    <x v="1"/>
    <x v="2"/>
    <x v="0"/>
    <x v="8"/>
    <x v="2"/>
    <x v="11"/>
    <x v="1"/>
  </r>
  <r>
    <x v="2094"/>
    <x v="7"/>
    <x v="2"/>
    <n v="35"/>
    <n v="105"/>
    <x v="76"/>
    <d v="2025-03-21T00:00:00"/>
    <s v="F"/>
    <x v="1"/>
    <x v="2"/>
    <x v="0"/>
    <x v="9"/>
    <x v="2"/>
    <x v="11"/>
    <x v="2"/>
  </r>
  <r>
    <x v="2095"/>
    <x v="4"/>
    <x v="2"/>
    <n v="26.6"/>
    <n v="79.800000000000011"/>
    <x v="76"/>
    <d v="2025-03-18T00:00:00"/>
    <s v="M"/>
    <x v="1"/>
    <x v="2"/>
    <x v="0"/>
    <x v="11"/>
    <x v="7"/>
    <x v="11"/>
    <x v="1"/>
  </r>
  <r>
    <x v="2096"/>
    <x v="4"/>
    <x v="8"/>
    <n v="47.9"/>
    <n v="383.2"/>
    <x v="77"/>
    <d v="2025-03-20T00:00:00"/>
    <s v="F"/>
    <x v="3"/>
    <x v="2"/>
    <x v="0"/>
    <x v="20"/>
    <x v="3"/>
    <x v="11"/>
    <x v="2"/>
  </r>
  <r>
    <x v="2097"/>
    <x v="5"/>
    <x v="0"/>
    <n v="80.099999999999994"/>
    <n v="80.099999999999994"/>
    <x v="77"/>
    <d v="2025-03-20T00:00:00"/>
    <s v="M"/>
    <x v="2"/>
    <x v="0"/>
    <x v="0"/>
    <x v="21"/>
    <x v="3"/>
    <x v="11"/>
    <x v="1"/>
  </r>
  <r>
    <x v="2098"/>
    <x v="6"/>
    <x v="9"/>
    <n v="50.4"/>
    <n v="252"/>
    <x v="77"/>
    <d v="2025-03-20T00:00:00"/>
    <s v="M"/>
    <x v="1"/>
    <x v="2"/>
    <x v="0"/>
    <x v="21"/>
    <x v="3"/>
    <x v="11"/>
    <x v="1"/>
  </r>
  <r>
    <x v="2099"/>
    <x v="10"/>
    <x v="3"/>
    <n v="43.3"/>
    <n v="303.09999999999997"/>
    <x v="77"/>
    <d v="2025-03-20T00:00:00"/>
    <s v="M"/>
    <x v="2"/>
    <x v="0"/>
    <x v="0"/>
    <x v="21"/>
    <x v="3"/>
    <x v="11"/>
    <x v="1"/>
  </r>
  <r>
    <x v="2100"/>
    <x v="10"/>
    <x v="12"/>
    <n v="57.5"/>
    <n v="230"/>
    <x v="77"/>
    <d v="2025-03-20T00:00:00"/>
    <s v="F"/>
    <x v="1"/>
    <x v="2"/>
    <x v="0"/>
    <x v="1"/>
    <x v="3"/>
    <x v="11"/>
    <x v="2"/>
  </r>
  <r>
    <x v="2101"/>
    <x v="9"/>
    <x v="15"/>
    <n v="24.8"/>
    <n v="322.40000000000003"/>
    <x v="77"/>
    <d v="2025-03-20T00:00:00"/>
    <s v="M"/>
    <x v="0"/>
    <x v="0"/>
    <x v="0"/>
    <x v="57"/>
    <x v="3"/>
    <x v="11"/>
    <x v="1"/>
  </r>
  <r>
    <x v="2102"/>
    <x v="2"/>
    <x v="11"/>
    <n v="85.7"/>
    <n v="771.30000000000007"/>
    <x v="77"/>
    <d v="2025-03-20T00:00:00"/>
    <s v="F"/>
    <x v="0"/>
    <x v="0"/>
    <x v="0"/>
    <x v="42"/>
    <x v="3"/>
    <x v="11"/>
    <x v="2"/>
  </r>
  <r>
    <x v="2103"/>
    <x v="7"/>
    <x v="0"/>
    <n v="47.1"/>
    <n v="47.1"/>
    <x v="77"/>
    <d v="2025-03-21T00:00:00"/>
    <s v="F"/>
    <x v="0"/>
    <x v="0"/>
    <x v="0"/>
    <x v="2"/>
    <x v="1"/>
    <x v="11"/>
    <x v="2"/>
  </r>
  <r>
    <x v="2104"/>
    <x v="5"/>
    <x v="7"/>
    <n v="83.2"/>
    <n v="832"/>
    <x v="77"/>
    <d v="2025-03-23T00:00:00"/>
    <s v="F"/>
    <x v="0"/>
    <x v="0"/>
    <x v="0"/>
    <x v="33"/>
    <x v="5"/>
    <x v="11"/>
    <x v="2"/>
  </r>
  <r>
    <x v="2105"/>
    <x v="2"/>
    <x v="2"/>
    <n v="157"/>
    <n v="471"/>
    <x v="77"/>
    <d v="2025-03-21T00:00:00"/>
    <s v="F"/>
    <x v="0"/>
    <x v="2"/>
    <x v="0"/>
    <x v="22"/>
    <x v="1"/>
    <x v="11"/>
    <x v="2"/>
  </r>
  <r>
    <x v="2106"/>
    <x v="16"/>
    <x v="12"/>
    <n v="33.700000000000003"/>
    <n v="134.80000000000001"/>
    <x v="77"/>
    <d v="2025-03-20T00:00:00"/>
    <s v="M"/>
    <x v="2"/>
    <x v="2"/>
    <x v="0"/>
    <x v="22"/>
    <x v="3"/>
    <x v="11"/>
    <x v="1"/>
  </r>
  <r>
    <x v="2107"/>
    <x v="2"/>
    <x v="2"/>
    <n v="60.8"/>
    <n v="182.39999999999998"/>
    <x v="77"/>
    <d v="2025-03-23T00:00:00"/>
    <s v="F"/>
    <x v="1"/>
    <x v="1"/>
    <x v="0"/>
    <x v="3"/>
    <x v="5"/>
    <x v="11"/>
    <x v="2"/>
  </r>
  <r>
    <x v="2108"/>
    <x v="7"/>
    <x v="0"/>
    <n v="57.6"/>
    <n v="57.6"/>
    <x v="77"/>
    <d v="2025-03-20T00:00:00"/>
    <s v="M"/>
    <x v="1"/>
    <x v="4"/>
    <x v="0"/>
    <x v="3"/>
    <x v="3"/>
    <x v="11"/>
    <x v="1"/>
  </r>
  <r>
    <x v="2109"/>
    <x v="10"/>
    <x v="0"/>
    <n v="32"/>
    <n v="32"/>
    <x v="77"/>
    <d v="2025-03-21T00:00:00"/>
    <s v="M"/>
    <x v="0"/>
    <x v="0"/>
    <x v="0"/>
    <x v="3"/>
    <x v="1"/>
    <x v="11"/>
    <x v="1"/>
  </r>
  <r>
    <x v="2110"/>
    <x v="10"/>
    <x v="12"/>
    <n v="23.5"/>
    <n v="94"/>
    <x v="77"/>
    <d v="2025-03-20T00:00:00"/>
    <s v="F"/>
    <x v="0"/>
    <x v="2"/>
    <x v="0"/>
    <x v="3"/>
    <x v="3"/>
    <x v="11"/>
    <x v="2"/>
  </r>
  <r>
    <x v="2111"/>
    <x v="12"/>
    <x v="2"/>
    <n v="44.8"/>
    <n v="134.39999999999998"/>
    <x v="77"/>
    <d v="2025-03-20T00:00:00"/>
    <s v="O"/>
    <x v="4"/>
    <x v="0"/>
    <x v="0"/>
    <x v="3"/>
    <x v="3"/>
    <x v="11"/>
    <x v="3"/>
  </r>
  <r>
    <x v="2112"/>
    <x v="0"/>
    <x v="8"/>
    <n v="11.7"/>
    <n v="93.6"/>
    <x v="77"/>
    <d v="2025-03-20T00:00:00"/>
    <s v="M"/>
    <x v="2"/>
    <x v="2"/>
    <x v="0"/>
    <x v="3"/>
    <x v="3"/>
    <x v="11"/>
    <x v="1"/>
  </r>
  <r>
    <x v="2113"/>
    <x v="7"/>
    <x v="1"/>
    <n v="38.799999999999997"/>
    <n v="77.599999999999994"/>
    <x v="77"/>
    <d v="2025-03-22T00:00:00"/>
    <s v="F"/>
    <x v="2"/>
    <x v="0"/>
    <x v="0"/>
    <x v="3"/>
    <x v="2"/>
    <x v="11"/>
    <x v="2"/>
  </r>
  <r>
    <x v="2114"/>
    <x v="5"/>
    <x v="21"/>
    <n v="86.9"/>
    <n v="1216.6000000000001"/>
    <x v="77"/>
    <d v="2025-03-24T00:00:00"/>
    <s v="F"/>
    <x v="1"/>
    <x v="0"/>
    <x v="0"/>
    <x v="3"/>
    <x v="0"/>
    <x v="11"/>
    <x v="2"/>
  </r>
  <r>
    <x v="2115"/>
    <x v="8"/>
    <x v="0"/>
    <n v="18.3"/>
    <n v="18.3"/>
    <x v="77"/>
    <d v="2025-03-20T00:00:00"/>
    <s v="F"/>
    <x v="0"/>
    <x v="0"/>
    <x v="0"/>
    <x v="3"/>
    <x v="3"/>
    <x v="11"/>
    <x v="2"/>
  </r>
  <r>
    <x v="2116"/>
    <x v="5"/>
    <x v="0"/>
    <n v="47.5"/>
    <n v="47.5"/>
    <x v="77"/>
    <d v="2025-03-23T00:00:00"/>
    <s v="M"/>
    <x v="4"/>
    <x v="2"/>
    <x v="0"/>
    <x v="3"/>
    <x v="5"/>
    <x v="11"/>
    <x v="1"/>
  </r>
  <r>
    <x v="2117"/>
    <x v="1"/>
    <x v="1"/>
    <n v="78.599999999999994"/>
    <n v="157.19999999999999"/>
    <x v="77"/>
    <d v="2025-03-20T00:00:00"/>
    <s v="M"/>
    <x v="2"/>
    <x v="2"/>
    <x v="0"/>
    <x v="3"/>
    <x v="3"/>
    <x v="11"/>
    <x v="1"/>
  </r>
  <r>
    <x v="2118"/>
    <x v="6"/>
    <x v="12"/>
    <n v="87.3"/>
    <n v="349.2"/>
    <x v="77"/>
    <d v="2025-03-20T00:00:00"/>
    <s v="M"/>
    <x v="0"/>
    <x v="0"/>
    <x v="0"/>
    <x v="3"/>
    <x v="3"/>
    <x v="11"/>
    <x v="1"/>
  </r>
  <r>
    <x v="2119"/>
    <x v="9"/>
    <x v="1"/>
    <n v="63.2"/>
    <n v="126.4"/>
    <x v="77"/>
    <d v="2025-03-19T00:00:00"/>
    <s v="M"/>
    <x v="4"/>
    <x v="1"/>
    <x v="0"/>
    <x v="3"/>
    <x v="7"/>
    <x v="11"/>
    <x v="1"/>
  </r>
  <r>
    <x v="2120"/>
    <x v="5"/>
    <x v="9"/>
    <n v="33.700000000000003"/>
    <n v="168.5"/>
    <x v="77"/>
    <d v="2025-03-20T00:00:00"/>
    <s v="F"/>
    <x v="0"/>
    <x v="0"/>
    <x v="0"/>
    <x v="3"/>
    <x v="3"/>
    <x v="11"/>
    <x v="2"/>
  </r>
  <r>
    <x v="2121"/>
    <x v="2"/>
    <x v="2"/>
    <n v="107.4"/>
    <n v="322.20000000000005"/>
    <x v="77"/>
    <d v="2025-04-01T00:00:00"/>
    <s v="F"/>
    <x v="1"/>
    <x v="2"/>
    <x v="0"/>
    <x v="3"/>
    <x v="10"/>
    <x v="11"/>
    <x v="2"/>
  </r>
  <r>
    <x v="2122"/>
    <x v="4"/>
    <x v="12"/>
    <n v="22.2"/>
    <n v="88.8"/>
    <x v="77"/>
    <d v="2025-03-20T00:00:00"/>
    <s v=""/>
    <x v="1"/>
    <x v="2"/>
    <x v="0"/>
    <x v="24"/>
    <x v="3"/>
    <x v="11"/>
    <x v="0"/>
  </r>
  <r>
    <x v="2123"/>
    <x v="18"/>
    <x v="2"/>
    <n v="52.8"/>
    <n v="158.39999999999998"/>
    <x v="77"/>
    <d v="2025-03-20T00:00:00"/>
    <s v="M"/>
    <x v="3"/>
    <x v="2"/>
    <x v="0"/>
    <x v="24"/>
    <x v="3"/>
    <x v="11"/>
    <x v="1"/>
  </r>
  <r>
    <x v="2124"/>
    <x v="8"/>
    <x v="2"/>
    <n v="41.5"/>
    <n v="124.5"/>
    <x v="77"/>
    <d v="2025-03-22T00:00:00"/>
    <s v="F"/>
    <x v="0"/>
    <x v="0"/>
    <x v="0"/>
    <x v="25"/>
    <x v="2"/>
    <x v="11"/>
    <x v="2"/>
  </r>
  <r>
    <x v="2125"/>
    <x v="12"/>
    <x v="8"/>
    <n v="103.5"/>
    <n v="828"/>
    <x v="77"/>
    <d v="2025-03-22T00:00:00"/>
    <s v="F"/>
    <x v="0"/>
    <x v="2"/>
    <x v="0"/>
    <x v="23"/>
    <x v="2"/>
    <x v="11"/>
    <x v="2"/>
  </r>
  <r>
    <x v="2126"/>
    <x v="4"/>
    <x v="21"/>
    <n v="37.5"/>
    <n v="525"/>
    <x v="77"/>
    <d v="2025-03-19T00:00:00"/>
    <s v="F"/>
    <x v="1"/>
    <x v="2"/>
    <x v="0"/>
    <x v="6"/>
    <x v="7"/>
    <x v="11"/>
    <x v="2"/>
  </r>
  <r>
    <x v="2127"/>
    <x v="15"/>
    <x v="8"/>
    <n v="44.4"/>
    <n v="355.2"/>
    <x v="77"/>
    <d v="2025-03-25T00:00:00"/>
    <s v="F"/>
    <x v="3"/>
    <x v="2"/>
    <x v="0"/>
    <x v="7"/>
    <x v="4"/>
    <x v="11"/>
    <x v="2"/>
  </r>
  <r>
    <x v="2128"/>
    <x v="8"/>
    <x v="2"/>
    <n v="26.2"/>
    <n v="78.599999999999994"/>
    <x v="77"/>
    <d v="2025-03-20T00:00:00"/>
    <s v="M"/>
    <x v="0"/>
    <x v="0"/>
    <x v="0"/>
    <x v="8"/>
    <x v="3"/>
    <x v="11"/>
    <x v="1"/>
  </r>
  <r>
    <x v="2129"/>
    <x v="1"/>
    <x v="3"/>
    <n v="32.200000000000003"/>
    <n v="225.40000000000003"/>
    <x v="77"/>
    <d v="2025-03-20T00:00:00"/>
    <s v="F"/>
    <x v="1"/>
    <x v="2"/>
    <x v="0"/>
    <x v="8"/>
    <x v="3"/>
    <x v="11"/>
    <x v="2"/>
  </r>
  <r>
    <x v="2130"/>
    <x v="8"/>
    <x v="0"/>
    <n v="17.399999999999999"/>
    <n v="17.399999999999999"/>
    <x v="77"/>
    <d v="2025-03-23T00:00:00"/>
    <s v=""/>
    <x v="2"/>
    <x v="1"/>
    <x v="0"/>
    <x v="8"/>
    <x v="5"/>
    <x v="11"/>
    <x v="0"/>
  </r>
  <r>
    <x v="2131"/>
    <x v="8"/>
    <x v="13"/>
    <n v="72.3"/>
    <n v="433.79999999999995"/>
    <x v="77"/>
    <d v="2025-03-22T00:00:00"/>
    <s v="F"/>
    <x v="0"/>
    <x v="0"/>
    <x v="0"/>
    <x v="8"/>
    <x v="2"/>
    <x v="11"/>
    <x v="2"/>
  </r>
  <r>
    <x v="2132"/>
    <x v="8"/>
    <x v="5"/>
    <n v="24.3"/>
    <n v="267.3"/>
    <x v="77"/>
    <d v="2025-03-20T00:00:00"/>
    <s v="M"/>
    <x v="0"/>
    <x v="0"/>
    <x v="0"/>
    <x v="8"/>
    <x v="3"/>
    <x v="11"/>
    <x v="1"/>
  </r>
  <r>
    <x v="2133"/>
    <x v="13"/>
    <x v="2"/>
    <n v="49.1"/>
    <n v="147.30000000000001"/>
    <x v="77"/>
    <d v="2025-03-25T00:00:00"/>
    <s v="M"/>
    <x v="2"/>
    <x v="4"/>
    <x v="0"/>
    <x v="8"/>
    <x v="4"/>
    <x v="11"/>
    <x v="1"/>
  </r>
  <r>
    <x v="2134"/>
    <x v="2"/>
    <x v="7"/>
    <n v="234.7"/>
    <n v="2347"/>
    <x v="77"/>
    <d v="2025-03-20T00:00:00"/>
    <s v="M"/>
    <x v="3"/>
    <x v="1"/>
    <x v="0"/>
    <x v="8"/>
    <x v="3"/>
    <x v="11"/>
    <x v="1"/>
  </r>
  <r>
    <x v="2135"/>
    <x v="3"/>
    <x v="9"/>
    <n v="76.099999999999994"/>
    <n v="380.5"/>
    <x v="77"/>
    <d v="2025-03-21T00:00:00"/>
    <s v="M"/>
    <x v="1"/>
    <x v="1"/>
    <x v="0"/>
    <x v="17"/>
    <x v="1"/>
    <x v="11"/>
    <x v="1"/>
  </r>
  <r>
    <x v="2136"/>
    <x v="1"/>
    <x v="2"/>
    <n v="93.9"/>
    <n v="281.70000000000005"/>
    <x v="77"/>
    <d v="2025-03-20T00:00:00"/>
    <s v="M"/>
    <x v="1"/>
    <x v="4"/>
    <x v="0"/>
    <x v="11"/>
    <x v="3"/>
    <x v="11"/>
    <x v="1"/>
  </r>
  <r>
    <x v="2137"/>
    <x v="2"/>
    <x v="12"/>
    <n v="187"/>
    <n v="748"/>
    <x v="78"/>
    <d v="2025-03-23T00:00:00"/>
    <s v="M"/>
    <x v="0"/>
    <x v="0"/>
    <x v="0"/>
    <x v="11"/>
    <x v="2"/>
    <x v="11"/>
    <x v="1"/>
  </r>
  <r>
    <x v="2138"/>
    <x v="8"/>
    <x v="1"/>
    <n v="18"/>
    <n v="36"/>
    <x v="78"/>
    <d v="2025-03-21T00:00:00"/>
    <s v="F"/>
    <x v="1"/>
    <x v="2"/>
    <x v="0"/>
    <x v="53"/>
    <x v="3"/>
    <x v="11"/>
    <x v="2"/>
  </r>
  <r>
    <x v="2139"/>
    <x v="4"/>
    <x v="0"/>
    <n v="24.4"/>
    <n v="24.4"/>
    <x v="78"/>
    <d v="2025-03-21T00:00:00"/>
    <s v="F"/>
    <x v="4"/>
    <x v="2"/>
    <x v="0"/>
    <x v="21"/>
    <x v="3"/>
    <x v="11"/>
    <x v="2"/>
  </r>
  <r>
    <x v="2140"/>
    <x v="10"/>
    <x v="1"/>
    <n v="38.799999999999997"/>
    <n v="77.599999999999994"/>
    <x v="78"/>
    <d v="2025-03-21T00:00:00"/>
    <s v="M"/>
    <x v="4"/>
    <x v="1"/>
    <x v="0"/>
    <x v="3"/>
    <x v="3"/>
    <x v="11"/>
    <x v="1"/>
  </r>
  <r>
    <x v="2141"/>
    <x v="3"/>
    <x v="0"/>
    <n v="59.7"/>
    <n v="59.7"/>
    <x v="78"/>
    <d v="2025-03-23T00:00:00"/>
    <s v="M"/>
    <x v="3"/>
    <x v="0"/>
    <x v="0"/>
    <x v="3"/>
    <x v="2"/>
    <x v="11"/>
    <x v="1"/>
  </r>
  <r>
    <x v="2142"/>
    <x v="7"/>
    <x v="0"/>
    <n v="31.2"/>
    <n v="31.2"/>
    <x v="78"/>
    <d v="2025-03-21T00:00:00"/>
    <s v="M"/>
    <x v="1"/>
    <x v="2"/>
    <x v="0"/>
    <x v="3"/>
    <x v="3"/>
    <x v="11"/>
    <x v="1"/>
  </r>
  <r>
    <x v="2143"/>
    <x v="0"/>
    <x v="0"/>
    <n v="16.8"/>
    <n v="16.8"/>
    <x v="78"/>
    <d v="2025-03-21T00:00:00"/>
    <s v="F"/>
    <x v="2"/>
    <x v="1"/>
    <x v="0"/>
    <x v="3"/>
    <x v="3"/>
    <x v="11"/>
    <x v="2"/>
  </r>
  <r>
    <x v="2144"/>
    <x v="8"/>
    <x v="0"/>
    <n v="46"/>
    <n v="46"/>
    <x v="78"/>
    <d v="2025-03-21T00:00:00"/>
    <s v="M"/>
    <x v="0"/>
    <x v="0"/>
    <x v="0"/>
    <x v="3"/>
    <x v="3"/>
    <x v="11"/>
    <x v="1"/>
  </r>
  <r>
    <x v="2145"/>
    <x v="9"/>
    <x v="8"/>
    <n v="42.2"/>
    <n v="337.6"/>
    <x v="78"/>
    <d v="2025-03-23T00:00:00"/>
    <s v="F"/>
    <x v="3"/>
    <x v="2"/>
    <x v="0"/>
    <x v="3"/>
    <x v="2"/>
    <x v="11"/>
    <x v="2"/>
  </r>
  <r>
    <x v="2146"/>
    <x v="1"/>
    <x v="2"/>
    <n v="71.5"/>
    <n v="214.5"/>
    <x v="78"/>
    <d v="2025-04-03T00:00:00"/>
    <s v="F"/>
    <x v="0"/>
    <x v="0"/>
    <x v="0"/>
    <x v="3"/>
    <x v="12"/>
    <x v="11"/>
    <x v="2"/>
  </r>
  <r>
    <x v="2147"/>
    <x v="1"/>
    <x v="1"/>
    <n v="76.599999999999994"/>
    <n v="153.19999999999999"/>
    <x v="78"/>
    <d v="2025-03-20T00:00:00"/>
    <s v="M"/>
    <x v="0"/>
    <x v="2"/>
    <x v="0"/>
    <x v="3"/>
    <x v="7"/>
    <x v="11"/>
    <x v="1"/>
  </r>
  <r>
    <x v="2148"/>
    <x v="12"/>
    <x v="1"/>
    <n v="87.3"/>
    <n v="174.6"/>
    <x v="78"/>
    <d v="2025-03-28T00:00:00"/>
    <s v="F"/>
    <x v="3"/>
    <x v="2"/>
    <x v="0"/>
    <x v="3"/>
    <x v="9"/>
    <x v="11"/>
    <x v="2"/>
  </r>
  <r>
    <x v="2149"/>
    <x v="1"/>
    <x v="0"/>
    <n v="63"/>
    <n v="63"/>
    <x v="78"/>
    <d v="2025-03-23T00:00:00"/>
    <s v="M"/>
    <x v="3"/>
    <x v="0"/>
    <x v="0"/>
    <x v="3"/>
    <x v="2"/>
    <x v="11"/>
    <x v="1"/>
  </r>
  <r>
    <x v="2150"/>
    <x v="8"/>
    <x v="1"/>
    <n v="41.7"/>
    <n v="83.4"/>
    <x v="78"/>
    <d v="2025-03-21T00:00:00"/>
    <s v="F"/>
    <x v="4"/>
    <x v="1"/>
    <x v="0"/>
    <x v="43"/>
    <x v="3"/>
    <x v="11"/>
    <x v="2"/>
  </r>
  <r>
    <x v="2151"/>
    <x v="6"/>
    <x v="1"/>
    <n v="76.099999999999994"/>
    <n v="152.19999999999999"/>
    <x v="78"/>
    <d v="2025-03-20T00:00:00"/>
    <s v="F"/>
    <x v="4"/>
    <x v="2"/>
    <x v="0"/>
    <x v="16"/>
    <x v="7"/>
    <x v="11"/>
    <x v="2"/>
  </r>
  <r>
    <x v="2152"/>
    <x v="13"/>
    <x v="1"/>
    <n v="28.5"/>
    <n v="57"/>
    <x v="78"/>
    <d v="2025-03-21T00:00:00"/>
    <s v="F"/>
    <x v="0"/>
    <x v="2"/>
    <x v="0"/>
    <x v="4"/>
    <x v="3"/>
    <x v="11"/>
    <x v="2"/>
  </r>
  <r>
    <x v="2153"/>
    <x v="0"/>
    <x v="12"/>
    <n v="32.1"/>
    <n v="128.4"/>
    <x v="78"/>
    <d v="2025-03-21T00:00:00"/>
    <s v="F"/>
    <x v="1"/>
    <x v="2"/>
    <x v="0"/>
    <x v="25"/>
    <x v="3"/>
    <x v="11"/>
    <x v="2"/>
  </r>
  <r>
    <x v="2154"/>
    <x v="4"/>
    <x v="2"/>
    <n v="39"/>
    <n v="117"/>
    <x v="78"/>
    <d v="2025-03-23T00:00:00"/>
    <s v="M"/>
    <x v="1"/>
    <x v="2"/>
    <x v="0"/>
    <x v="25"/>
    <x v="2"/>
    <x v="11"/>
    <x v="1"/>
  </r>
  <r>
    <x v="2155"/>
    <x v="6"/>
    <x v="0"/>
    <n v="78.5"/>
    <n v="78.5"/>
    <x v="78"/>
    <d v="2025-03-21T00:00:00"/>
    <s v="M"/>
    <x v="1"/>
    <x v="0"/>
    <x v="0"/>
    <x v="6"/>
    <x v="3"/>
    <x v="11"/>
    <x v="1"/>
  </r>
  <r>
    <x v="2156"/>
    <x v="4"/>
    <x v="9"/>
    <n v="49.7"/>
    <n v="248.5"/>
    <x v="78"/>
    <d v="2025-03-22T00:00:00"/>
    <s v="F"/>
    <x v="0"/>
    <x v="0"/>
    <x v="0"/>
    <x v="6"/>
    <x v="1"/>
    <x v="11"/>
    <x v="2"/>
  </r>
  <r>
    <x v="2157"/>
    <x v="1"/>
    <x v="12"/>
    <n v="68.400000000000006"/>
    <n v="273.60000000000002"/>
    <x v="78"/>
    <d v="2025-03-21T00:00:00"/>
    <s v="F"/>
    <x v="2"/>
    <x v="2"/>
    <x v="0"/>
    <x v="7"/>
    <x v="3"/>
    <x v="11"/>
    <x v="2"/>
  </r>
  <r>
    <x v="2158"/>
    <x v="3"/>
    <x v="1"/>
    <n v="72.900000000000006"/>
    <n v="145.80000000000001"/>
    <x v="78"/>
    <d v="2025-03-23T00:00:00"/>
    <s v=""/>
    <x v="0"/>
    <x v="2"/>
    <x v="0"/>
    <x v="7"/>
    <x v="2"/>
    <x v="11"/>
    <x v="0"/>
  </r>
  <r>
    <x v="2159"/>
    <x v="5"/>
    <x v="15"/>
    <n v="30.3"/>
    <n v="393.90000000000003"/>
    <x v="78"/>
    <d v="2025-03-21T00:00:00"/>
    <s v="M"/>
    <x v="4"/>
    <x v="0"/>
    <x v="0"/>
    <x v="7"/>
    <x v="3"/>
    <x v="11"/>
    <x v="1"/>
  </r>
  <r>
    <x v="2160"/>
    <x v="6"/>
    <x v="5"/>
    <n v="57.9"/>
    <n v="636.9"/>
    <x v="78"/>
    <d v="2025-03-21T00:00:00"/>
    <s v="F"/>
    <x v="0"/>
    <x v="0"/>
    <x v="0"/>
    <x v="8"/>
    <x v="3"/>
    <x v="11"/>
    <x v="2"/>
  </r>
  <r>
    <x v="2161"/>
    <x v="1"/>
    <x v="0"/>
    <n v="96.7"/>
    <n v="96.7"/>
    <x v="78"/>
    <d v="2025-03-21T00:00:00"/>
    <s v="M"/>
    <x v="0"/>
    <x v="0"/>
    <x v="0"/>
    <x v="8"/>
    <x v="3"/>
    <x v="11"/>
    <x v="1"/>
  </r>
  <r>
    <x v="2162"/>
    <x v="8"/>
    <x v="4"/>
    <n v="27.6"/>
    <n v="331.20000000000005"/>
    <x v="78"/>
    <d v="2025-03-22T00:00:00"/>
    <s v="M"/>
    <x v="2"/>
    <x v="2"/>
    <x v="0"/>
    <x v="8"/>
    <x v="1"/>
    <x v="11"/>
    <x v="1"/>
  </r>
  <r>
    <x v="2163"/>
    <x v="6"/>
    <x v="12"/>
    <n v="64.7"/>
    <n v="258.8"/>
    <x v="78"/>
    <d v="2025-03-20T00:00:00"/>
    <s v="M"/>
    <x v="3"/>
    <x v="2"/>
    <x v="0"/>
    <x v="8"/>
    <x v="7"/>
    <x v="11"/>
    <x v="1"/>
  </r>
  <r>
    <x v="2164"/>
    <x v="10"/>
    <x v="13"/>
    <n v="30.5"/>
    <n v="183"/>
    <x v="78"/>
    <d v="2025-03-21T00:00:00"/>
    <s v="M"/>
    <x v="4"/>
    <x v="0"/>
    <x v="0"/>
    <x v="8"/>
    <x v="3"/>
    <x v="11"/>
    <x v="1"/>
  </r>
  <r>
    <x v="2165"/>
    <x v="6"/>
    <x v="47"/>
    <n v="106"/>
    <n v="7420"/>
    <x v="79"/>
    <d v="2025-03-23T00:00:00"/>
    <s v="M"/>
    <x v="4"/>
    <x v="2"/>
    <x v="0"/>
    <x v="8"/>
    <x v="1"/>
    <x v="11"/>
    <x v="1"/>
  </r>
  <r>
    <x v="2166"/>
    <x v="12"/>
    <x v="9"/>
    <n v="76.8"/>
    <n v="384"/>
    <x v="79"/>
    <d v="2025-03-27T00:00:00"/>
    <s v=""/>
    <x v="1"/>
    <x v="1"/>
    <x v="0"/>
    <x v="18"/>
    <x v="4"/>
    <x v="11"/>
    <x v="0"/>
  </r>
  <r>
    <x v="2167"/>
    <x v="6"/>
    <x v="1"/>
    <n v="80.400000000000006"/>
    <n v="160.80000000000001"/>
    <x v="79"/>
    <d v="2025-03-22T00:00:00"/>
    <s v="F"/>
    <x v="2"/>
    <x v="0"/>
    <x v="0"/>
    <x v="13"/>
    <x v="3"/>
    <x v="11"/>
    <x v="2"/>
  </r>
  <r>
    <x v="2168"/>
    <x v="6"/>
    <x v="12"/>
    <n v="69.099999999999994"/>
    <n v="276.39999999999998"/>
    <x v="79"/>
    <d v="2025-03-22T00:00:00"/>
    <s v="M"/>
    <x v="1"/>
    <x v="2"/>
    <x v="0"/>
    <x v="21"/>
    <x v="3"/>
    <x v="11"/>
    <x v="1"/>
  </r>
  <r>
    <x v="2169"/>
    <x v="18"/>
    <x v="1"/>
    <n v="76.400000000000006"/>
    <n v="152.80000000000001"/>
    <x v="79"/>
    <d v="2025-03-21T00:00:00"/>
    <s v="M"/>
    <x v="3"/>
    <x v="0"/>
    <x v="0"/>
    <x v="21"/>
    <x v="7"/>
    <x v="11"/>
    <x v="1"/>
  </r>
  <r>
    <x v="2170"/>
    <x v="2"/>
    <x v="1"/>
    <n v="61.3"/>
    <n v="122.6"/>
    <x v="79"/>
    <d v="2025-03-22T00:00:00"/>
    <s v="F"/>
    <x v="1"/>
    <x v="1"/>
    <x v="0"/>
    <x v="21"/>
    <x v="3"/>
    <x v="11"/>
    <x v="2"/>
  </r>
  <r>
    <x v="2171"/>
    <x v="7"/>
    <x v="0"/>
    <n v="58"/>
    <n v="58"/>
    <x v="79"/>
    <d v="2025-03-22T00:00:00"/>
    <s v="M"/>
    <x v="3"/>
    <x v="1"/>
    <x v="0"/>
    <x v="1"/>
    <x v="3"/>
    <x v="11"/>
    <x v="1"/>
  </r>
  <r>
    <x v="2172"/>
    <x v="2"/>
    <x v="8"/>
    <n v="102.3"/>
    <n v="818.4"/>
    <x v="79"/>
    <d v="2025-03-23T00:00:00"/>
    <s v="M"/>
    <x v="2"/>
    <x v="0"/>
    <x v="0"/>
    <x v="42"/>
    <x v="1"/>
    <x v="11"/>
    <x v="1"/>
  </r>
  <r>
    <x v="2173"/>
    <x v="19"/>
    <x v="1"/>
    <n v="13.8"/>
    <n v="27.6"/>
    <x v="79"/>
    <d v="2025-03-22T00:00:00"/>
    <s v="F"/>
    <x v="4"/>
    <x v="2"/>
    <x v="0"/>
    <x v="2"/>
    <x v="3"/>
    <x v="11"/>
    <x v="2"/>
  </r>
  <r>
    <x v="2174"/>
    <x v="8"/>
    <x v="2"/>
    <n v="33.299999999999997"/>
    <n v="99.899999999999991"/>
    <x v="79"/>
    <d v="2025-03-24T00:00:00"/>
    <s v="F"/>
    <x v="2"/>
    <x v="0"/>
    <x v="0"/>
    <x v="22"/>
    <x v="2"/>
    <x v="11"/>
    <x v="2"/>
  </r>
  <r>
    <x v="2175"/>
    <x v="10"/>
    <x v="0"/>
    <n v="27.4"/>
    <n v="27.4"/>
    <x v="79"/>
    <d v="2025-03-24T00:00:00"/>
    <s v="M"/>
    <x v="0"/>
    <x v="2"/>
    <x v="0"/>
    <x v="22"/>
    <x v="2"/>
    <x v="11"/>
    <x v="1"/>
  </r>
  <r>
    <x v="2176"/>
    <x v="14"/>
    <x v="1"/>
    <n v="25.6"/>
    <n v="51.2"/>
    <x v="79"/>
    <d v="2025-03-22T00:00:00"/>
    <s v="F"/>
    <x v="1"/>
    <x v="1"/>
    <x v="0"/>
    <x v="3"/>
    <x v="3"/>
    <x v="11"/>
    <x v="2"/>
  </r>
  <r>
    <x v="2177"/>
    <x v="13"/>
    <x v="0"/>
    <n v="58.4"/>
    <n v="58.4"/>
    <x v="79"/>
    <d v="2025-03-22T00:00:00"/>
    <s v="F"/>
    <x v="2"/>
    <x v="2"/>
    <x v="0"/>
    <x v="3"/>
    <x v="3"/>
    <x v="11"/>
    <x v="2"/>
  </r>
  <r>
    <x v="2178"/>
    <x v="11"/>
    <x v="17"/>
    <n v="27"/>
    <n v="810"/>
    <x v="79"/>
    <d v="2025-03-22T00:00:00"/>
    <s v="F"/>
    <x v="4"/>
    <x v="0"/>
    <x v="0"/>
    <x v="3"/>
    <x v="3"/>
    <x v="11"/>
    <x v="2"/>
  </r>
  <r>
    <x v="2179"/>
    <x v="0"/>
    <x v="12"/>
    <n v="14.2"/>
    <n v="56.8"/>
    <x v="79"/>
    <d v="2025-03-22T00:00:00"/>
    <s v="M"/>
    <x v="0"/>
    <x v="2"/>
    <x v="0"/>
    <x v="3"/>
    <x v="3"/>
    <x v="11"/>
    <x v="1"/>
  </r>
  <r>
    <x v="2180"/>
    <x v="7"/>
    <x v="1"/>
    <n v="68"/>
    <n v="136"/>
    <x v="79"/>
    <d v="2025-03-31T00:00:00"/>
    <s v="M"/>
    <x v="2"/>
    <x v="1"/>
    <x v="0"/>
    <x v="3"/>
    <x v="14"/>
    <x v="11"/>
    <x v="1"/>
  </r>
  <r>
    <x v="2181"/>
    <x v="8"/>
    <x v="0"/>
    <n v="30.7"/>
    <n v="30.7"/>
    <x v="79"/>
    <d v="2025-03-22T00:00:00"/>
    <s v="M"/>
    <x v="0"/>
    <x v="0"/>
    <x v="0"/>
    <x v="3"/>
    <x v="3"/>
    <x v="11"/>
    <x v="1"/>
  </r>
  <r>
    <x v="2182"/>
    <x v="17"/>
    <x v="15"/>
    <n v="51.6"/>
    <n v="670.80000000000007"/>
    <x v="79"/>
    <d v="2025-03-24T00:00:00"/>
    <s v="O"/>
    <x v="1"/>
    <x v="2"/>
    <x v="0"/>
    <x v="3"/>
    <x v="2"/>
    <x v="11"/>
    <x v="3"/>
  </r>
  <r>
    <x v="2183"/>
    <x v="8"/>
    <x v="2"/>
    <n v="20.6"/>
    <n v="61.800000000000004"/>
    <x v="79"/>
    <d v="2025-03-25T00:00:00"/>
    <s v="F"/>
    <x v="4"/>
    <x v="2"/>
    <x v="0"/>
    <x v="3"/>
    <x v="5"/>
    <x v="11"/>
    <x v="2"/>
  </r>
  <r>
    <x v="2184"/>
    <x v="8"/>
    <x v="0"/>
    <n v="24.8"/>
    <n v="24.8"/>
    <x v="79"/>
    <d v="2025-03-22T00:00:00"/>
    <s v="M"/>
    <x v="4"/>
    <x v="0"/>
    <x v="0"/>
    <x v="3"/>
    <x v="3"/>
    <x v="11"/>
    <x v="1"/>
  </r>
  <r>
    <x v="2185"/>
    <x v="0"/>
    <x v="3"/>
    <n v="11.2"/>
    <n v="78.399999999999991"/>
    <x v="79"/>
    <d v="2025-03-24T00:00:00"/>
    <s v="M"/>
    <x v="1"/>
    <x v="0"/>
    <x v="0"/>
    <x v="3"/>
    <x v="2"/>
    <x v="11"/>
    <x v="1"/>
  </r>
  <r>
    <x v="2186"/>
    <x v="11"/>
    <x v="1"/>
    <n v="51.2"/>
    <n v="102.4"/>
    <x v="79"/>
    <d v="2025-03-22T00:00:00"/>
    <s v="F"/>
    <x v="1"/>
    <x v="2"/>
    <x v="0"/>
    <x v="3"/>
    <x v="3"/>
    <x v="11"/>
    <x v="2"/>
  </r>
  <r>
    <x v="2187"/>
    <x v="7"/>
    <x v="13"/>
    <n v="90.5"/>
    <n v="543"/>
    <x v="79"/>
    <d v="2025-03-22T00:00:00"/>
    <s v="F"/>
    <x v="1"/>
    <x v="4"/>
    <x v="0"/>
    <x v="3"/>
    <x v="3"/>
    <x v="11"/>
    <x v="2"/>
  </r>
  <r>
    <x v="2188"/>
    <x v="1"/>
    <x v="1"/>
    <n v="42.4"/>
    <n v="84.8"/>
    <x v="79"/>
    <d v="2025-03-22T00:00:00"/>
    <s v="M"/>
    <x v="1"/>
    <x v="2"/>
    <x v="0"/>
    <x v="4"/>
    <x v="3"/>
    <x v="11"/>
    <x v="1"/>
  </r>
  <r>
    <x v="2189"/>
    <x v="1"/>
    <x v="1"/>
    <n v="38.200000000000003"/>
    <n v="76.400000000000006"/>
    <x v="79"/>
    <d v="2025-03-22T00:00:00"/>
    <s v="M"/>
    <x v="0"/>
    <x v="0"/>
    <x v="0"/>
    <x v="5"/>
    <x v="3"/>
    <x v="11"/>
    <x v="1"/>
  </r>
  <r>
    <x v="2190"/>
    <x v="2"/>
    <x v="11"/>
    <n v="121.3"/>
    <n v="1091.7"/>
    <x v="79"/>
    <d v="2025-03-26T00:00:00"/>
    <s v="M"/>
    <x v="0"/>
    <x v="0"/>
    <x v="0"/>
    <x v="6"/>
    <x v="0"/>
    <x v="11"/>
    <x v="1"/>
  </r>
  <r>
    <x v="2191"/>
    <x v="6"/>
    <x v="1"/>
    <n v="46.9"/>
    <n v="93.8"/>
    <x v="79"/>
    <d v="2025-03-28T00:00:00"/>
    <s v="M"/>
    <x v="0"/>
    <x v="0"/>
    <x v="0"/>
    <x v="8"/>
    <x v="6"/>
    <x v="11"/>
    <x v="1"/>
  </r>
  <r>
    <x v="2192"/>
    <x v="10"/>
    <x v="0"/>
    <n v="55.3"/>
    <n v="55.3"/>
    <x v="79"/>
    <d v="2025-03-23T00:00:00"/>
    <s v="M"/>
    <x v="0"/>
    <x v="0"/>
    <x v="0"/>
    <x v="8"/>
    <x v="1"/>
    <x v="11"/>
    <x v="1"/>
  </r>
  <r>
    <x v="2193"/>
    <x v="2"/>
    <x v="2"/>
    <n v="70.599999999999994"/>
    <n v="211.79999999999998"/>
    <x v="80"/>
    <d v="2025-03-22T00:00:00"/>
    <s v="F"/>
    <x v="0"/>
    <x v="1"/>
    <x v="0"/>
    <x v="8"/>
    <x v="7"/>
    <x v="11"/>
    <x v="2"/>
  </r>
  <r>
    <x v="2194"/>
    <x v="14"/>
    <x v="12"/>
    <n v="26.1"/>
    <n v="104.4"/>
    <x v="80"/>
    <d v="2025-03-24T00:00:00"/>
    <s v="M"/>
    <x v="0"/>
    <x v="0"/>
    <x v="0"/>
    <x v="8"/>
    <x v="1"/>
    <x v="11"/>
    <x v="1"/>
  </r>
  <r>
    <x v="2195"/>
    <x v="9"/>
    <x v="5"/>
    <n v="34.5"/>
    <n v="379.5"/>
    <x v="80"/>
    <d v="2025-03-26T00:00:00"/>
    <s v="M"/>
    <x v="2"/>
    <x v="0"/>
    <x v="0"/>
    <x v="17"/>
    <x v="5"/>
    <x v="11"/>
    <x v="1"/>
  </r>
  <r>
    <x v="2196"/>
    <x v="1"/>
    <x v="1"/>
    <n v="64.2"/>
    <n v="128.4"/>
    <x v="80"/>
    <d v="2025-03-23T00:00:00"/>
    <s v="F"/>
    <x v="0"/>
    <x v="1"/>
    <x v="0"/>
    <x v="17"/>
    <x v="3"/>
    <x v="11"/>
    <x v="2"/>
  </r>
  <r>
    <x v="2197"/>
    <x v="2"/>
    <x v="12"/>
    <n v="145.69999999999999"/>
    <n v="582.79999999999995"/>
    <x v="80"/>
    <d v="2025-03-23T00:00:00"/>
    <s v="F"/>
    <x v="0"/>
    <x v="4"/>
    <x v="0"/>
    <x v="17"/>
    <x v="3"/>
    <x v="11"/>
    <x v="2"/>
  </r>
  <r>
    <x v="2198"/>
    <x v="12"/>
    <x v="1"/>
    <n v="78.5"/>
    <n v="157"/>
    <x v="80"/>
    <d v="2025-03-23T00:00:00"/>
    <s v="M"/>
    <x v="2"/>
    <x v="0"/>
    <x v="0"/>
    <x v="26"/>
    <x v="3"/>
    <x v="11"/>
    <x v="1"/>
  </r>
  <r>
    <x v="2199"/>
    <x v="1"/>
    <x v="0"/>
    <n v="34.200000000000003"/>
    <n v="34.200000000000003"/>
    <x v="80"/>
    <d v="2025-03-24T00:00:00"/>
    <s v="M"/>
    <x v="0"/>
    <x v="0"/>
    <x v="0"/>
    <x v="9"/>
    <x v="1"/>
    <x v="11"/>
    <x v="1"/>
  </r>
  <r>
    <x v="2200"/>
    <x v="19"/>
    <x v="0"/>
    <n v="26.2"/>
    <n v="26.2"/>
    <x v="80"/>
    <d v="2025-03-23T00:00:00"/>
    <s v="M"/>
    <x v="2"/>
    <x v="0"/>
    <x v="0"/>
    <x v="9"/>
    <x v="3"/>
    <x v="11"/>
    <x v="1"/>
  </r>
  <r>
    <x v="2201"/>
    <x v="6"/>
    <x v="12"/>
    <n v="53.2"/>
    <n v="212.8"/>
    <x v="80"/>
    <d v="2025-03-23T00:00:00"/>
    <s v="M"/>
    <x v="1"/>
    <x v="1"/>
    <x v="0"/>
    <x v="11"/>
    <x v="3"/>
    <x v="11"/>
    <x v="1"/>
  </r>
  <r>
    <x v="2202"/>
    <x v="1"/>
    <x v="0"/>
    <n v="35.4"/>
    <n v="35.4"/>
    <x v="80"/>
    <d v="2025-03-26T00:00:00"/>
    <s v="M"/>
    <x v="1"/>
    <x v="4"/>
    <x v="0"/>
    <x v="18"/>
    <x v="5"/>
    <x v="11"/>
    <x v="1"/>
  </r>
  <r>
    <x v="2203"/>
    <x v="14"/>
    <x v="1"/>
    <n v="21.3"/>
    <n v="42.6"/>
    <x v="80"/>
    <d v="2025-03-23T00:00:00"/>
    <s v="M"/>
    <x v="2"/>
    <x v="0"/>
    <x v="0"/>
    <x v="20"/>
    <x v="3"/>
    <x v="11"/>
    <x v="1"/>
  </r>
  <r>
    <x v="2204"/>
    <x v="8"/>
    <x v="12"/>
    <n v="32.9"/>
    <n v="131.6"/>
    <x v="80"/>
    <d v="2025-03-25T00:00:00"/>
    <s v="F"/>
    <x v="4"/>
    <x v="2"/>
    <x v="0"/>
    <x v="21"/>
    <x v="2"/>
    <x v="11"/>
    <x v="2"/>
  </r>
  <r>
    <x v="2205"/>
    <x v="5"/>
    <x v="20"/>
    <n v="85.5"/>
    <n v="1282.5"/>
    <x v="80"/>
    <d v="2025-03-24T00:00:00"/>
    <s v="F"/>
    <x v="3"/>
    <x v="1"/>
    <x v="0"/>
    <x v="21"/>
    <x v="1"/>
    <x v="11"/>
    <x v="2"/>
  </r>
  <r>
    <x v="2206"/>
    <x v="4"/>
    <x v="0"/>
    <n v="26.8"/>
    <n v="26.8"/>
    <x v="80"/>
    <d v="2025-03-23T00:00:00"/>
    <s v="F"/>
    <x v="0"/>
    <x v="1"/>
    <x v="0"/>
    <x v="2"/>
    <x v="3"/>
    <x v="11"/>
    <x v="2"/>
  </r>
  <r>
    <x v="2207"/>
    <x v="9"/>
    <x v="18"/>
    <n v="31.7"/>
    <n v="824.19999999999993"/>
    <x v="80"/>
    <d v="2025-03-22T00:00:00"/>
    <s v="F"/>
    <x v="3"/>
    <x v="0"/>
    <x v="0"/>
    <x v="2"/>
    <x v="7"/>
    <x v="11"/>
    <x v="2"/>
  </r>
  <r>
    <x v="2208"/>
    <x v="1"/>
    <x v="1"/>
    <n v="78.3"/>
    <n v="156.6"/>
    <x v="80"/>
    <d v="2025-03-24T00:00:00"/>
    <s v="F"/>
    <x v="1"/>
    <x v="1"/>
    <x v="0"/>
    <x v="3"/>
    <x v="1"/>
    <x v="11"/>
    <x v="2"/>
  </r>
  <r>
    <x v="2209"/>
    <x v="6"/>
    <x v="0"/>
    <n v="43.9"/>
    <n v="43.9"/>
    <x v="80"/>
    <d v="2025-03-23T00:00:00"/>
    <s v="M"/>
    <x v="0"/>
    <x v="0"/>
    <x v="0"/>
    <x v="3"/>
    <x v="3"/>
    <x v="11"/>
    <x v="1"/>
  </r>
  <r>
    <x v="2210"/>
    <x v="18"/>
    <x v="2"/>
    <n v="84"/>
    <n v="252"/>
    <x v="80"/>
    <d v="2025-03-24T00:00:00"/>
    <s v=""/>
    <x v="3"/>
    <x v="2"/>
    <x v="0"/>
    <x v="3"/>
    <x v="1"/>
    <x v="11"/>
    <x v="0"/>
  </r>
  <r>
    <x v="2211"/>
    <x v="0"/>
    <x v="2"/>
    <n v="11.4"/>
    <n v="34.200000000000003"/>
    <x v="80"/>
    <d v="2025-03-23T00:00:00"/>
    <s v="M"/>
    <x v="4"/>
    <x v="0"/>
    <x v="0"/>
    <x v="3"/>
    <x v="3"/>
    <x v="11"/>
    <x v="1"/>
  </r>
  <r>
    <x v="2212"/>
    <x v="12"/>
    <x v="8"/>
    <n v="47.5"/>
    <n v="380"/>
    <x v="80"/>
    <d v="2025-03-30T00:00:00"/>
    <s v="F"/>
    <x v="0"/>
    <x v="0"/>
    <x v="0"/>
    <x v="3"/>
    <x v="9"/>
    <x v="11"/>
    <x v="2"/>
  </r>
  <r>
    <x v="2213"/>
    <x v="9"/>
    <x v="5"/>
    <n v="50.5"/>
    <n v="555.5"/>
    <x v="80"/>
    <d v="2025-03-24T00:00:00"/>
    <s v="M"/>
    <x v="2"/>
    <x v="0"/>
    <x v="0"/>
    <x v="3"/>
    <x v="1"/>
    <x v="11"/>
    <x v="1"/>
  </r>
  <r>
    <x v="2214"/>
    <x v="15"/>
    <x v="0"/>
    <n v="36.299999999999997"/>
    <n v="36.299999999999997"/>
    <x v="80"/>
    <d v="2025-03-25T00:00:00"/>
    <s v="O"/>
    <x v="0"/>
    <x v="1"/>
    <x v="0"/>
    <x v="8"/>
    <x v="2"/>
    <x v="11"/>
    <x v="3"/>
  </r>
  <r>
    <x v="2215"/>
    <x v="8"/>
    <x v="1"/>
    <n v="35.4"/>
    <n v="70.8"/>
    <x v="80"/>
    <d v="2025-03-23T00:00:00"/>
    <s v="F"/>
    <x v="0"/>
    <x v="0"/>
    <x v="0"/>
    <x v="17"/>
    <x v="3"/>
    <x v="11"/>
    <x v="2"/>
  </r>
  <r>
    <x v="2216"/>
    <x v="1"/>
    <x v="2"/>
    <n v="45.9"/>
    <n v="137.69999999999999"/>
    <x v="81"/>
    <d v="2025-03-24T00:00:00"/>
    <s v="M"/>
    <x v="3"/>
    <x v="0"/>
    <x v="0"/>
    <x v="9"/>
    <x v="3"/>
    <x v="12"/>
    <x v="1"/>
  </r>
  <r>
    <x v="2217"/>
    <x v="6"/>
    <x v="7"/>
    <n v="41.2"/>
    <n v="412"/>
    <x v="81"/>
    <d v="2025-03-27T00:00:00"/>
    <s v="M"/>
    <x v="0"/>
    <x v="0"/>
    <x v="0"/>
    <x v="11"/>
    <x v="5"/>
    <x v="12"/>
    <x v="1"/>
  </r>
  <r>
    <x v="2218"/>
    <x v="17"/>
    <x v="1"/>
    <n v="45.1"/>
    <n v="90.2"/>
    <x v="81"/>
    <d v="2025-03-24T00:00:00"/>
    <s v="M"/>
    <x v="1"/>
    <x v="1"/>
    <x v="0"/>
    <x v="21"/>
    <x v="3"/>
    <x v="12"/>
    <x v="1"/>
  </r>
  <r>
    <x v="2219"/>
    <x v="6"/>
    <x v="7"/>
    <n v="63.6"/>
    <n v="636"/>
    <x v="81"/>
    <d v="2025-03-23T00:00:00"/>
    <s v="M"/>
    <x v="2"/>
    <x v="0"/>
    <x v="0"/>
    <x v="1"/>
    <x v="7"/>
    <x v="12"/>
    <x v="1"/>
  </r>
  <r>
    <x v="2220"/>
    <x v="8"/>
    <x v="0"/>
    <n v="70.5"/>
    <n v="70.5"/>
    <x v="81"/>
    <d v="2025-03-24T00:00:00"/>
    <s v="M"/>
    <x v="0"/>
    <x v="0"/>
    <x v="0"/>
    <x v="3"/>
    <x v="3"/>
    <x v="12"/>
    <x v="1"/>
  </r>
  <r>
    <x v="2221"/>
    <x v="6"/>
    <x v="0"/>
    <n v="41.3"/>
    <n v="41.3"/>
    <x v="81"/>
    <d v="2025-03-23T00:00:00"/>
    <s v="M"/>
    <x v="4"/>
    <x v="0"/>
    <x v="0"/>
    <x v="3"/>
    <x v="7"/>
    <x v="12"/>
    <x v="1"/>
  </r>
  <r>
    <x v="2222"/>
    <x v="4"/>
    <x v="0"/>
    <n v="35.299999999999997"/>
    <n v="35.299999999999997"/>
    <x v="81"/>
    <d v="2025-03-26T00:00:00"/>
    <s v="F"/>
    <x v="4"/>
    <x v="2"/>
    <x v="0"/>
    <x v="3"/>
    <x v="2"/>
    <x v="12"/>
    <x v="2"/>
  </r>
  <r>
    <x v="2223"/>
    <x v="8"/>
    <x v="9"/>
    <n v="34.700000000000003"/>
    <n v="173.5"/>
    <x v="81"/>
    <d v="2025-03-24T00:00:00"/>
    <s v="F"/>
    <x v="0"/>
    <x v="2"/>
    <x v="0"/>
    <x v="3"/>
    <x v="3"/>
    <x v="12"/>
    <x v="2"/>
  </r>
  <r>
    <x v="2224"/>
    <x v="8"/>
    <x v="2"/>
    <n v="26.1"/>
    <n v="78.300000000000011"/>
    <x v="81"/>
    <d v="2025-03-24T00:00:00"/>
    <s v="F"/>
    <x v="0"/>
    <x v="0"/>
    <x v="0"/>
    <x v="3"/>
    <x v="3"/>
    <x v="12"/>
    <x v="2"/>
  </r>
  <r>
    <x v="2225"/>
    <x v="9"/>
    <x v="9"/>
    <n v="22.6"/>
    <n v="113"/>
    <x v="81"/>
    <d v="2025-03-23T00:00:00"/>
    <s v="F"/>
    <x v="1"/>
    <x v="2"/>
    <x v="0"/>
    <x v="3"/>
    <x v="7"/>
    <x v="12"/>
    <x v="2"/>
  </r>
  <r>
    <x v="2226"/>
    <x v="2"/>
    <x v="1"/>
    <n v="154.4"/>
    <n v="308.8"/>
    <x v="81"/>
    <d v="2025-03-26T00:00:00"/>
    <s v="M"/>
    <x v="1"/>
    <x v="1"/>
    <x v="0"/>
    <x v="3"/>
    <x v="2"/>
    <x v="12"/>
    <x v="1"/>
  </r>
  <r>
    <x v="2227"/>
    <x v="8"/>
    <x v="1"/>
    <n v="18.399999999999999"/>
    <n v="36.799999999999997"/>
    <x v="81"/>
    <d v="2025-03-24T00:00:00"/>
    <s v="M"/>
    <x v="0"/>
    <x v="0"/>
    <x v="0"/>
    <x v="3"/>
    <x v="3"/>
    <x v="12"/>
    <x v="1"/>
  </r>
  <r>
    <x v="2228"/>
    <x v="14"/>
    <x v="0"/>
    <n v="25"/>
    <n v="25"/>
    <x v="81"/>
    <d v="2025-03-26T00:00:00"/>
    <s v="F"/>
    <x v="0"/>
    <x v="0"/>
    <x v="0"/>
    <x v="3"/>
    <x v="2"/>
    <x v="12"/>
    <x v="2"/>
  </r>
  <r>
    <x v="2229"/>
    <x v="2"/>
    <x v="13"/>
    <n v="105.6"/>
    <n v="633.59999999999991"/>
    <x v="81"/>
    <d v="2025-03-23T00:00:00"/>
    <s v="F"/>
    <x v="0"/>
    <x v="0"/>
    <x v="0"/>
    <x v="3"/>
    <x v="7"/>
    <x v="12"/>
    <x v="2"/>
  </r>
  <r>
    <x v="2230"/>
    <x v="18"/>
    <x v="8"/>
    <n v="59.6"/>
    <n v="476.8"/>
    <x v="81"/>
    <d v="2025-03-23T00:00:00"/>
    <s v="F"/>
    <x v="0"/>
    <x v="2"/>
    <x v="0"/>
    <x v="23"/>
    <x v="7"/>
    <x v="12"/>
    <x v="2"/>
  </r>
  <r>
    <x v="2231"/>
    <x v="15"/>
    <x v="2"/>
    <n v="75.400000000000006"/>
    <n v="226.20000000000002"/>
    <x v="81"/>
    <d v="2025-03-28T00:00:00"/>
    <s v="M"/>
    <x v="0"/>
    <x v="1"/>
    <x v="0"/>
    <x v="7"/>
    <x v="0"/>
    <x v="12"/>
    <x v="1"/>
  </r>
  <r>
    <x v="2232"/>
    <x v="7"/>
    <x v="0"/>
    <n v="104.4"/>
    <n v="104.4"/>
    <x v="81"/>
    <d v="2025-03-24T00:00:00"/>
    <s v="F"/>
    <x v="0"/>
    <x v="0"/>
    <x v="0"/>
    <x v="8"/>
    <x v="3"/>
    <x v="12"/>
    <x v="2"/>
  </r>
  <r>
    <x v="2233"/>
    <x v="2"/>
    <x v="7"/>
    <n v="208.2"/>
    <n v="2082"/>
    <x v="81"/>
    <d v="2025-03-24T00:00:00"/>
    <s v="M"/>
    <x v="0"/>
    <x v="2"/>
    <x v="0"/>
    <x v="8"/>
    <x v="3"/>
    <x v="12"/>
    <x v="1"/>
  </r>
  <r>
    <x v="2234"/>
    <x v="6"/>
    <x v="1"/>
    <n v="45"/>
    <n v="90"/>
    <x v="81"/>
    <d v="2025-03-26T00:00:00"/>
    <s v="F"/>
    <x v="0"/>
    <x v="0"/>
    <x v="0"/>
    <x v="10"/>
    <x v="2"/>
    <x v="12"/>
    <x v="2"/>
  </r>
  <r>
    <x v="2235"/>
    <x v="15"/>
    <x v="1"/>
    <n v="20.3"/>
    <n v="40.6"/>
    <x v="82"/>
    <d v="2025-03-26T00:00:00"/>
    <s v=""/>
    <x v="1"/>
    <x v="0"/>
    <x v="0"/>
    <x v="11"/>
    <x v="1"/>
    <x v="12"/>
    <x v="0"/>
  </r>
  <r>
    <x v="2236"/>
    <x v="2"/>
    <x v="2"/>
    <n v="94.4"/>
    <n v="283.20000000000005"/>
    <x v="82"/>
    <d v="2025-03-25T00:00:00"/>
    <s v="F"/>
    <x v="0"/>
    <x v="2"/>
    <x v="0"/>
    <x v="11"/>
    <x v="3"/>
    <x v="12"/>
    <x v="2"/>
  </r>
  <r>
    <x v="2237"/>
    <x v="9"/>
    <x v="0"/>
    <n v="49"/>
    <n v="49"/>
    <x v="82"/>
    <d v="2025-03-26T00:00:00"/>
    <s v="F"/>
    <x v="0"/>
    <x v="2"/>
    <x v="0"/>
    <x v="20"/>
    <x v="1"/>
    <x v="12"/>
    <x v="2"/>
  </r>
  <r>
    <x v="2238"/>
    <x v="4"/>
    <x v="1"/>
    <n v="27.2"/>
    <n v="54.4"/>
    <x v="82"/>
    <d v="2025-03-26T00:00:00"/>
    <s v="M"/>
    <x v="0"/>
    <x v="2"/>
    <x v="0"/>
    <x v="1"/>
    <x v="1"/>
    <x v="12"/>
    <x v="1"/>
  </r>
  <r>
    <x v="2239"/>
    <x v="2"/>
    <x v="13"/>
    <n v="72.599999999999994"/>
    <n v="435.59999999999997"/>
    <x v="82"/>
    <d v="2025-03-25T00:00:00"/>
    <s v="F"/>
    <x v="0"/>
    <x v="2"/>
    <x v="0"/>
    <x v="2"/>
    <x v="3"/>
    <x v="12"/>
    <x v="2"/>
  </r>
  <r>
    <x v="2240"/>
    <x v="15"/>
    <x v="12"/>
    <n v="62.4"/>
    <n v="249.6"/>
    <x v="82"/>
    <d v="2025-03-25T00:00:00"/>
    <s v="F"/>
    <x v="0"/>
    <x v="0"/>
    <x v="0"/>
    <x v="3"/>
    <x v="3"/>
    <x v="12"/>
    <x v="2"/>
  </r>
  <r>
    <x v="2241"/>
    <x v="8"/>
    <x v="2"/>
    <n v="19.100000000000001"/>
    <n v="57.300000000000004"/>
    <x v="82"/>
    <d v="2025-03-26T00:00:00"/>
    <s v="M"/>
    <x v="0"/>
    <x v="1"/>
    <x v="0"/>
    <x v="3"/>
    <x v="1"/>
    <x v="12"/>
    <x v="1"/>
  </r>
  <r>
    <x v="2242"/>
    <x v="10"/>
    <x v="0"/>
    <n v="29.6"/>
    <n v="29.6"/>
    <x v="82"/>
    <d v="2025-03-28T00:00:00"/>
    <s v="M"/>
    <x v="0"/>
    <x v="4"/>
    <x v="0"/>
    <x v="3"/>
    <x v="5"/>
    <x v="12"/>
    <x v="1"/>
  </r>
  <r>
    <x v="2243"/>
    <x v="8"/>
    <x v="1"/>
    <n v="18.899999999999999"/>
    <n v="37.799999999999997"/>
    <x v="82"/>
    <d v="2025-03-26T00:00:00"/>
    <s v="F"/>
    <x v="4"/>
    <x v="2"/>
    <x v="0"/>
    <x v="3"/>
    <x v="1"/>
    <x v="12"/>
    <x v="2"/>
  </r>
  <r>
    <x v="2244"/>
    <x v="10"/>
    <x v="9"/>
    <n v="41.4"/>
    <n v="207"/>
    <x v="82"/>
    <d v="2025-03-25T00:00:00"/>
    <s v="M"/>
    <x v="3"/>
    <x v="0"/>
    <x v="0"/>
    <x v="3"/>
    <x v="3"/>
    <x v="12"/>
    <x v="1"/>
  </r>
  <r>
    <x v="2245"/>
    <x v="2"/>
    <x v="0"/>
    <n v="118.4"/>
    <n v="118.4"/>
    <x v="82"/>
    <d v="2025-03-25T00:00:00"/>
    <s v="F"/>
    <x v="0"/>
    <x v="2"/>
    <x v="0"/>
    <x v="3"/>
    <x v="3"/>
    <x v="12"/>
    <x v="2"/>
  </r>
  <r>
    <x v="2246"/>
    <x v="2"/>
    <x v="1"/>
    <n v="125.3"/>
    <n v="250.6"/>
    <x v="82"/>
    <d v="2025-03-27T00:00:00"/>
    <s v="F"/>
    <x v="0"/>
    <x v="2"/>
    <x v="0"/>
    <x v="3"/>
    <x v="2"/>
    <x v="12"/>
    <x v="2"/>
  </r>
  <r>
    <x v="2247"/>
    <x v="3"/>
    <x v="1"/>
    <n v="85.8"/>
    <n v="171.6"/>
    <x v="82"/>
    <d v="2025-03-25T00:00:00"/>
    <s v="F"/>
    <x v="1"/>
    <x v="4"/>
    <x v="0"/>
    <x v="3"/>
    <x v="3"/>
    <x v="12"/>
    <x v="2"/>
  </r>
  <r>
    <x v="2248"/>
    <x v="6"/>
    <x v="0"/>
    <n v="44.2"/>
    <n v="44.2"/>
    <x v="82"/>
    <d v="2025-03-27T00:00:00"/>
    <s v="M"/>
    <x v="1"/>
    <x v="0"/>
    <x v="0"/>
    <x v="3"/>
    <x v="2"/>
    <x v="12"/>
    <x v="1"/>
  </r>
  <r>
    <x v="2249"/>
    <x v="5"/>
    <x v="12"/>
    <n v="74.099999999999994"/>
    <n v="296.39999999999998"/>
    <x v="82"/>
    <d v="2025-03-26T00:00:00"/>
    <s v="F"/>
    <x v="0"/>
    <x v="0"/>
    <x v="0"/>
    <x v="3"/>
    <x v="1"/>
    <x v="12"/>
    <x v="2"/>
  </r>
  <r>
    <x v="2250"/>
    <x v="8"/>
    <x v="0"/>
    <n v="33.799999999999997"/>
    <n v="33.799999999999997"/>
    <x v="82"/>
    <d v="2025-03-25T00:00:00"/>
    <s v="F"/>
    <x v="2"/>
    <x v="2"/>
    <x v="0"/>
    <x v="24"/>
    <x v="3"/>
    <x v="12"/>
    <x v="2"/>
  </r>
  <r>
    <x v="2251"/>
    <x v="1"/>
    <x v="1"/>
    <n v="39.1"/>
    <n v="78.2"/>
    <x v="82"/>
    <d v="2025-03-25T00:00:00"/>
    <s v="M"/>
    <x v="0"/>
    <x v="1"/>
    <x v="0"/>
    <x v="24"/>
    <x v="3"/>
    <x v="12"/>
    <x v="1"/>
  </r>
  <r>
    <x v="2252"/>
    <x v="0"/>
    <x v="0"/>
    <n v="37.200000000000003"/>
    <n v="37.200000000000003"/>
    <x v="82"/>
    <d v="2025-03-25T00:00:00"/>
    <s v="M"/>
    <x v="0"/>
    <x v="1"/>
    <x v="0"/>
    <x v="16"/>
    <x v="3"/>
    <x v="12"/>
    <x v="1"/>
  </r>
  <r>
    <x v="2253"/>
    <x v="15"/>
    <x v="2"/>
    <n v="33.9"/>
    <n v="101.69999999999999"/>
    <x v="82"/>
    <d v="2025-03-26T00:00:00"/>
    <s v="M"/>
    <x v="2"/>
    <x v="0"/>
    <x v="0"/>
    <x v="6"/>
    <x v="1"/>
    <x v="12"/>
    <x v="1"/>
  </r>
  <r>
    <x v="2254"/>
    <x v="7"/>
    <x v="20"/>
    <n v="73.3"/>
    <n v="1099.5"/>
    <x v="82"/>
    <d v="2025-03-27T00:00:00"/>
    <s v="F"/>
    <x v="2"/>
    <x v="1"/>
    <x v="0"/>
    <x v="8"/>
    <x v="2"/>
    <x v="12"/>
    <x v="2"/>
  </r>
  <r>
    <x v="2255"/>
    <x v="8"/>
    <x v="12"/>
    <n v="35"/>
    <n v="140"/>
    <x v="82"/>
    <d v="2025-03-26T00:00:00"/>
    <s v="F"/>
    <x v="1"/>
    <x v="0"/>
    <x v="0"/>
    <x v="8"/>
    <x v="1"/>
    <x v="12"/>
    <x v="2"/>
  </r>
  <r>
    <x v="2256"/>
    <x v="0"/>
    <x v="2"/>
    <n v="22.2"/>
    <n v="66.599999999999994"/>
    <x v="82"/>
    <d v="2025-03-25T00:00:00"/>
    <s v="M"/>
    <x v="1"/>
    <x v="0"/>
    <x v="0"/>
    <x v="17"/>
    <x v="3"/>
    <x v="12"/>
    <x v="1"/>
  </r>
  <r>
    <x v="2257"/>
    <x v="10"/>
    <x v="0"/>
    <n v="32.4"/>
    <n v="32.4"/>
    <x v="82"/>
    <d v="2025-03-25T00:00:00"/>
    <s v="F"/>
    <x v="0"/>
    <x v="0"/>
    <x v="0"/>
    <x v="11"/>
    <x v="3"/>
    <x v="12"/>
    <x v="2"/>
  </r>
  <r>
    <x v="2258"/>
    <x v="5"/>
    <x v="2"/>
    <n v="88.4"/>
    <n v="265.20000000000005"/>
    <x v="83"/>
    <d v="2025-03-27T00:00:00"/>
    <s v="F"/>
    <x v="1"/>
    <x v="1"/>
    <x v="0"/>
    <x v="11"/>
    <x v="1"/>
    <x v="12"/>
    <x v="2"/>
  </r>
  <r>
    <x v="2259"/>
    <x v="5"/>
    <x v="27"/>
    <n v="30.5"/>
    <n v="488"/>
    <x v="83"/>
    <d v="2025-03-26T00:00:00"/>
    <s v="F"/>
    <x v="2"/>
    <x v="0"/>
    <x v="0"/>
    <x v="11"/>
    <x v="3"/>
    <x v="12"/>
    <x v="2"/>
  </r>
  <r>
    <x v="2260"/>
    <x v="1"/>
    <x v="13"/>
    <n v="38.1"/>
    <n v="228.60000000000002"/>
    <x v="83"/>
    <d v="2025-03-27T00:00:00"/>
    <s v="F"/>
    <x v="0"/>
    <x v="1"/>
    <x v="0"/>
    <x v="11"/>
    <x v="1"/>
    <x v="12"/>
    <x v="2"/>
  </r>
  <r>
    <x v="2261"/>
    <x v="10"/>
    <x v="9"/>
    <n v="37.6"/>
    <n v="188"/>
    <x v="83"/>
    <d v="2025-03-29T00:00:00"/>
    <s v="M"/>
    <x v="0"/>
    <x v="0"/>
    <x v="0"/>
    <x v="11"/>
    <x v="5"/>
    <x v="12"/>
    <x v="1"/>
  </r>
  <r>
    <x v="2262"/>
    <x v="15"/>
    <x v="1"/>
    <n v="31.4"/>
    <n v="62.8"/>
    <x v="83"/>
    <d v="2025-03-26T00:00:00"/>
    <s v="M"/>
    <x v="0"/>
    <x v="2"/>
    <x v="0"/>
    <x v="11"/>
    <x v="3"/>
    <x v="12"/>
    <x v="1"/>
  </r>
  <r>
    <x v="2263"/>
    <x v="6"/>
    <x v="1"/>
    <n v="61.5"/>
    <n v="123"/>
    <x v="83"/>
    <d v="2025-03-26T00:00:00"/>
    <s v="M"/>
    <x v="3"/>
    <x v="0"/>
    <x v="0"/>
    <x v="31"/>
    <x v="3"/>
    <x v="12"/>
    <x v="1"/>
  </r>
  <r>
    <x v="2264"/>
    <x v="6"/>
    <x v="0"/>
    <n v="72.599999999999994"/>
    <n v="72.599999999999994"/>
    <x v="83"/>
    <d v="2025-03-26T00:00:00"/>
    <s v="M"/>
    <x v="0"/>
    <x v="1"/>
    <x v="0"/>
    <x v="21"/>
    <x v="3"/>
    <x v="12"/>
    <x v="1"/>
  </r>
  <r>
    <x v="2265"/>
    <x v="9"/>
    <x v="2"/>
    <n v="26.9"/>
    <n v="80.699999999999989"/>
    <x v="83"/>
    <d v="2025-03-30T00:00:00"/>
    <s v="O"/>
    <x v="4"/>
    <x v="1"/>
    <x v="0"/>
    <x v="46"/>
    <x v="0"/>
    <x v="12"/>
    <x v="3"/>
  </r>
  <r>
    <x v="2266"/>
    <x v="17"/>
    <x v="4"/>
    <n v="29.4"/>
    <n v="352.79999999999995"/>
    <x v="83"/>
    <d v="2025-03-26T00:00:00"/>
    <s v="F"/>
    <x v="1"/>
    <x v="0"/>
    <x v="0"/>
    <x v="51"/>
    <x v="3"/>
    <x v="12"/>
    <x v="2"/>
  </r>
  <r>
    <x v="2267"/>
    <x v="17"/>
    <x v="1"/>
    <n v="42.1"/>
    <n v="84.2"/>
    <x v="83"/>
    <d v="2025-03-26T00:00:00"/>
    <s v="F"/>
    <x v="3"/>
    <x v="1"/>
    <x v="0"/>
    <x v="1"/>
    <x v="3"/>
    <x v="12"/>
    <x v="2"/>
  </r>
  <r>
    <x v="2268"/>
    <x v="5"/>
    <x v="0"/>
    <n v="40.5"/>
    <n v="40.5"/>
    <x v="83"/>
    <d v="2025-03-26T00:00:00"/>
    <s v="F"/>
    <x v="2"/>
    <x v="1"/>
    <x v="0"/>
    <x v="1"/>
    <x v="3"/>
    <x v="12"/>
    <x v="2"/>
  </r>
  <r>
    <x v="2269"/>
    <x v="2"/>
    <x v="12"/>
    <n v="182.3"/>
    <n v="729.2"/>
    <x v="83"/>
    <d v="2025-03-26T00:00:00"/>
    <s v="F"/>
    <x v="1"/>
    <x v="0"/>
    <x v="0"/>
    <x v="1"/>
    <x v="3"/>
    <x v="12"/>
    <x v="2"/>
  </r>
  <r>
    <x v="2270"/>
    <x v="2"/>
    <x v="9"/>
    <n v="157"/>
    <n v="785"/>
    <x v="83"/>
    <d v="2025-03-28T00:00:00"/>
    <s v="F"/>
    <x v="1"/>
    <x v="2"/>
    <x v="0"/>
    <x v="2"/>
    <x v="2"/>
    <x v="12"/>
    <x v="2"/>
  </r>
  <r>
    <x v="2271"/>
    <x v="17"/>
    <x v="9"/>
    <n v="45.2"/>
    <n v="226"/>
    <x v="83"/>
    <d v="2025-03-28T00:00:00"/>
    <s v="F"/>
    <x v="1"/>
    <x v="0"/>
    <x v="0"/>
    <x v="22"/>
    <x v="2"/>
    <x v="12"/>
    <x v="2"/>
  </r>
  <r>
    <x v="2272"/>
    <x v="15"/>
    <x v="12"/>
    <n v="27.4"/>
    <n v="109.6"/>
    <x v="83"/>
    <d v="2025-03-27T00:00:00"/>
    <s v="F"/>
    <x v="0"/>
    <x v="0"/>
    <x v="0"/>
    <x v="3"/>
    <x v="1"/>
    <x v="12"/>
    <x v="2"/>
  </r>
  <r>
    <x v="2273"/>
    <x v="5"/>
    <x v="9"/>
    <n v="34.1"/>
    <n v="170.5"/>
    <x v="83"/>
    <d v="2025-03-27T00:00:00"/>
    <s v="M"/>
    <x v="0"/>
    <x v="2"/>
    <x v="0"/>
    <x v="3"/>
    <x v="1"/>
    <x v="12"/>
    <x v="1"/>
  </r>
  <r>
    <x v="2274"/>
    <x v="0"/>
    <x v="1"/>
    <n v="26"/>
    <n v="52"/>
    <x v="83"/>
    <d v="2025-03-27T00:00:00"/>
    <s v="M"/>
    <x v="2"/>
    <x v="1"/>
    <x v="0"/>
    <x v="3"/>
    <x v="1"/>
    <x v="12"/>
    <x v="1"/>
  </r>
  <r>
    <x v="2275"/>
    <x v="8"/>
    <x v="3"/>
    <n v="19.399999999999999"/>
    <n v="135.79999999999998"/>
    <x v="83"/>
    <d v="2025-03-27T00:00:00"/>
    <s v=""/>
    <x v="1"/>
    <x v="1"/>
    <x v="0"/>
    <x v="3"/>
    <x v="1"/>
    <x v="12"/>
    <x v="0"/>
  </r>
  <r>
    <x v="2276"/>
    <x v="16"/>
    <x v="2"/>
    <n v="30.3"/>
    <n v="90.9"/>
    <x v="83"/>
    <d v="2025-03-28T00:00:00"/>
    <s v="F"/>
    <x v="1"/>
    <x v="2"/>
    <x v="0"/>
    <x v="3"/>
    <x v="2"/>
    <x v="12"/>
    <x v="2"/>
  </r>
  <r>
    <x v="2277"/>
    <x v="2"/>
    <x v="2"/>
    <n v="101.4"/>
    <n v="304.20000000000005"/>
    <x v="83"/>
    <d v="2025-03-26T00:00:00"/>
    <s v="M"/>
    <x v="0"/>
    <x v="0"/>
    <x v="0"/>
    <x v="3"/>
    <x v="3"/>
    <x v="12"/>
    <x v="1"/>
  </r>
  <r>
    <x v="2278"/>
    <x v="3"/>
    <x v="9"/>
    <n v="55.5"/>
    <n v="277.5"/>
    <x v="83"/>
    <d v="2025-03-28T00:00:00"/>
    <s v="M"/>
    <x v="1"/>
    <x v="0"/>
    <x v="0"/>
    <x v="24"/>
    <x v="2"/>
    <x v="12"/>
    <x v="1"/>
  </r>
  <r>
    <x v="2279"/>
    <x v="8"/>
    <x v="0"/>
    <n v="23.1"/>
    <n v="23.1"/>
    <x v="83"/>
    <d v="2025-03-26T00:00:00"/>
    <s v="M"/>
    <x v="0"/>
    <x v="0"/>
    <x v="0"/>
    <x v="25"/>
    <x v="3"/>
    <x v="12"/>
    <x v="1"/>
  </r>
  <r>
    <x v="2280"/>
    <x v="18"/>
    <x v="1"/>
    <n v="38.9"/>
    <n v="77.8"/>
    <x v="83"/>
    <d v="2025-03-26T00:00:00"/>
    <s v="M"/>
    <x v="2"/>
    <x v="0"/>
    <x v="0"/>
    <x v="25"/>
    <x v="3"/>
    <x v="12"/>
    <x v="1"/>
  </r>
  <r>
    <x v="2281"/>
    <x v="6"/>
    <x v="11"/>
    <n v="116.3"/>
    <n v="1046.7"/>
    <x v="83"/>
    <d v="2025-03-29T00:00:00"/>
    <s v="F"/>
    <x v="0"/>
    <x v="0"/>
    <x v="0"/>
    <x v="5"/>
    <x v="5"/>
    <x v="12"/>
    <x v="2"/>
  </r>
  <r>
    <x v="2282"/>
    <x v="16"/>
    <x v="11"/>
    <n v="64.099999999999994"/>
    <n v="576.9"/>
    <x v="83"/>
    <d v="2025-03-25T00:00:00"/>
    <s v="F"/>
    <x v="0"/>
    <x v="2"/>
    <x v="0"/>
    <x v="6"/>
    <x v="7"/>
    <x v="12"/>
    <x v="2"/>
  </r>
  <r>
    <x v="2283"/>
    <x v="2"/>
    <x v="13"/>
    <n v="109.2"/>
    <n v="655.20000000000005"/>
    <x v="83"/>
    <d v="2025-03-27T00:00:00"/>
    <s v="M"/>
    <x v="0"/>
    <x v="1"/>
    <x v="0"/>
    <x v="8"/>
    <x v="1"/>
    <x v="12"/>
    <x v="1"/>
  </r>
  <r>
    <x v="2284"/>
    <x v="10"/>
    <x v="9"/>
    <n v="23.2"/>
    <n v="116"/>
    <x v="84"/>
    <d v="2025-03-27T00:00:00"/>
    <s v="M"/>
    <x v="0"/>
    <x v="1"/>
    <x v="0"/>
    <x v="8"/>
    <x v="3"/>
    <x v="12"/>
    <x v="1"/>
  </r>
  <r>
    <x v="2285"/>
    <x v="18"/>
    <x v="13"/>
    <n v="81.2"/>
    <n v="487.20000000000005"/>
    <x v="84"/>
    <d v="2025-03-28T00:00:00"/>
    <s v="M"/>
    <x v="2"/>
    <x v="2"/>
    <x v="0"/>
    <x v="8"/>
    <x v="1"/>
    <x v="12"/>
    <x v="1"/>
  </r>
  <r>
    <x v="2286"/>
    <x v="1"/>
    <x v="21"/>
    <n v="35.700000000000003"/>
    <n v="499.80000000000007"/>
    <x v="84"/>
    <d v="2025-03-27T00:00:00"/>
    <s v="M"/>
    <x v="3"/>
    <x v="0"/>
    <x v="0"/>
    <x v="8"/>
    <x v="3"/>
    <x v="12"/>
    <x v="1"/>
  </r>
  <r>
    <x v="2287"/>
    <x v="7"/>
    <x v="1"/>
    <n v="44.5"/>
    <n v="89"/>
    <x v="84"/>
    <d v="2025-03-29T00:00:00"/>
    <s v="M"/>
    <x v="4"/>
    <x v="0"/>
    <x v="0"/>
    <x v="9"/>
    <x v="2"/>
    <x v="12"/>
    <x v="1"/>
  </r>
  <r>
    <x v="2288"/>
    <x v="1"/>
    <x v="9"/>
    <n v="32"/>
    <n v="160"/>
    <x v="84"/>
    <d v="2025-03-28T00:00:00"/>
    <s v="O"/>
    <x v="1"/>
    <x v="1"/>
    <x v="0"/>
    <x v="9"/>
    <x v="1"/>
    <x v="12"/>
    <x v="3"/>
  </r>
  <r>
    <x v="2289"/>
    <x v="8"/>
    <x v="0"/>
    <n v="25.7"/>
    <n v="25.7"/>
    <x v="84"/>
    <d v="2025-03-27T00:00:00"/>
    <s v="M"/>
    <x v="0"/>
    <x v="0"/>
    <x v="0"/>
    <x v="10"/>
    <x v="3"/>
    <x v="12"/>
    <x v="1"/>
  </r>
  <r>
    <x v="2290"/>
    <x v="16"/>
    <x v="2"/>
    <n v="65.599999999999994"/>
    <n v="196.79999999999998"/>
    <x v="84"/>
    <d v="2025-04-01T00:00:00"/>
    <s v="M"/>
    <x v="0"/>
    <x v="0"/>
    <x v="0"/>
    <x v="11"/>
    <x v="4"/>
    <x v="12"/>
    <x v="1"/>
  </r>
  <r>
    <x v="2291"/>
    <x v="1"/>
    <x v="12"/>
    <n v="52.1"/>
    <n v="208.4"/>
    <x v="84"/>
    <d v="2025-03-27T00:00:00"/>
    <s v="F"/>
    <x v="0"/>
    <x v="2"/>
    <x v="0"/>
    <x v="11"/>
    <x v="3"/>
    <x v="12"/>
    <x v="2"/>
  </r>
  <r>
    <x v="2292"/>
    <x v="8"/>
    <x v="0"/>
    <n v="31"/>
    <n v="31"/>
    <x v="84"/>
    <d v="2025-03-27T00:00:00"/>
    <s v="M"/>
    <x v="0"/>
    <x v="1"/>
    <x v="0"/>
    <x v="19"/>
    <x v="3"/>
    <x v="12"/>
    <x v="1"/>
  </r>
  <r>
    <x v="2293"/>
    <x v="8"/>
    <x v="0"/>
    <n v="32"/>
    <n v="32"/>
    <x v="84"/>
    <d v="2025-03-28T00:00:00"/>
    <s v="O"/>
    <x v="3"/>
    <x v="1"/>
    <x v="0"/>
    <x v="31"/>
    <x v="1"/>
    <x v="12"/>
    <x v="3"/>
  </r>
  <r>
    <x v="2294"/>
    <x v="16"/>
    <x v="12"/>
    <n v="58.3"/>
    <n v="233.2"/>
    <x v="84"/>
    <d v="2025-03-30T00:00:00"/>
    <s v="M"/>
    <x v="1"/>
    <x v="4"/>
    <x v="0"/>
    <x v="20"/>
    <x v="5"/>
    <x v="12"/>
    <x v="1"/>
  </r>
  <r>
    <x v="2295"/>
    <x v="8"/>
    <x v="2"/>
    <n v="31"/>
    <n v="93"/>
    <x v="84"/>
    <d v="2025-03-28T00:00:00"/>
    <s v="F"/>
    <x v="2"/>
    <x v="4"/>
    <x v="0"/>
    <x v="13"/>
    <x v="1"/>
    <x v="12"/>
    <x v="2"/>
  </r>
  <r>
    <x v="2296"/>
    <x v="3"/>
    <x v="0"/>
    <n v="40.299999999999997"/>
    <n v="40.299999999999997"/>
    <x v="84"/>
    <d v="2025-03-27T00:00:00"/>
    <s v="M"/>
    <x v="1"/>
    <x v="2"/>
    <x v="0"/>
    <x v="54"/>
    <x v="3"/>
    <x v="12"/>
    <x v="1"/>
  </r>
  <r>
    <x v="2297"/>
    <x v="6"/>
    <x v="2"/>
    <n v="47.3"/>
    <n v="141.89999999999998"/>
    <x v="84"/>
    <d v="2025-03-28T00:00:00"/>
    <s v="M"/>
    <x v="4"/>
    <x v="2"/>
    <x v="0"/>
    <x v="2"/>
    <x v="1"/>
    <x v="12"/>
    <x v="1"/>
  </r>
  <r>
    <x v="2298"/>
    <x v="2"/>
    <x v="0"/>
    <n v="82.8"/>
    <n v="82.8"/>
    <x v="84"/>
    <d v="2025-03-27T00:00:00"/>
    <s v="M"/>
    <x v="0"/>
    <x v="0"/>
    <x v="0"/>
    <x v="2"/>
    <x v="3"/>
    <x v="12"/>
    <x v="1"/>
  </r>
  <r>
    <x v="2299"/>
    <x v="8"/>
    <x v="0"/>
    <n v="18.5"/>
    <n v="18.5"/>
    <x v="84"/>
    <d v="2025-04-09T00:00:00"/>
    <s v="F"/>
    <x v="0"/>
    <x v="0"/>
    <x v="0"/>
    <x v="44"/>
    <x v="12"/>
    <x v="12"/>
    <x v="2"/>
  </r>
  <r>
    <x v="2300"/>
    <x v="3"/>
    <x v="1"/>
    <n v="60.4"/>
    <n v="120.8"/>
    <x v="84"/>
    <d v="2025-03-27T00:00:00"/>
    <s v="M"/>
    <x v="2"/>
    <x v="0"/>
    <x v="0"/>
    <x v="22"/>
    <x v="3"/>
    <x v="12"/>
    <x v="1"/>
  </r>
  <r>
    <x v="2301"/>
    <x v="6"/>
    <x v="9"/>
    <n v="80.2"/>
    <n v="401"/>
    <x v="84"/>
    <d v="2025-04-02T00:00:00"/>
    <s v="M"/>
    <x v="1"/>
    <x v="1"/>
    <x v="0"/>
    <x v="50"/>
    <x v="6"/>
    <x v="12"/>
    <x v="1"/>
  </r>
  <r>
    <x v="2302"/>
    <x v="4"/>
    <x v="0"/>
    <n v="41.5"/>
    <n v="41.5"/>
    <x v="84"/>
    <d v="2025-03-28T00:00:00"/>
    <s v="M"/>
    <x v="2"/>
    <x v="0"/>
    <x v="0"/>
    <x v="3"/>
    <x v="1"/>
    <x v="12"/>
    <x v="1"/>
  </r>
  <r>
    <x v="2303"/>
    <x v="2"/>
    <x v="1"/>
    <n v="83.9"/>
    <n v="167.8"/>
    <x v="84"/>
    <d v="2025-03-29T00:00:00"/>
    <s v="F"/>
    <x v="0"/>
    <x v="0"/>
    <x v="0"/>
    <x v="3"/>
    <x v="2"/>
    <x v="12"/>
    <x v="2"/>
  </r>
  <r>
    <x v="2304"/>
    <x v="8"/>
    <x v="1"/>
    <n v="16.7"/>
    <n v="33.4"/>
    <x v="84"/>
    <d v="2025-03-30T00:00:00"/>
    <s v="F"/>
    <x v="0"/>
    <x v="1"/>
    <x v="0"/>
    <x v="3"/>
    <x v="5"/>
    <x v="12"/>
    <x v="2"/>
  </r>
  <r>
    <x v="2305"/>
    <x v="9"/>
    <x v="1"/>
    <n v="72.900000000000006"/>
    <n v="145.80000000000001"/>
    <x v="84"/>
    <d v="2025-03-27T00:00:00"/>
    <s v="M"/>
    <x v="2"/>
    <x v="1"/>
    <x v="0"/>
    <x v="3"/>
    <x v="3"/>
    <x v="12"/>
    <x v="1"/>
  </r>
  <r>
    <x v="2306"/>
    <x v="5"/>
    <x v="1"/>
    <n v="50.2"/>
    <n v="100.4"/>
    <x v="84"/>
    <d v="2025-03-28T00:00:00"/>
    <s v="F"/>
    <x v="1"/>
    <x v="2"/>
    <x v="0"/>
    <x v="3"/>
    <x v="1"/>
    <x v="12"/>
    <x v="2"/>
  </r>
  <r>
    <x v="2307"/>
    <x v="3"/>
    <x v="1"/>
    <n v="34.200000000000003"/>
    <n v="68.400000000000006"/>
    <x v="84"/>
    <d v="2025-04-05T00:00:00"/>
    <s v=""/>
    <x v="1"/>
    <x v="0"/>
    <x v="0"/>
    <x v="3"/>
    <x v="14"/>
    <x v="12"/>
    <x v="0"/>
  </r>
  <r>
    <x v="2308"/>
    <x v="5"/>
    <x v="1"/>
    <n v="107.9"/>
    <n v="215.8"/>
    <x v="84"/>
    <d v="2025-03-26T00:00:00"/>
    <s v="M"/>
    <x v="1"/>
    <x v="4"/>
    <x v="0"/>
    <x v="3"/>
    <x v="7"/>
    <x v="12"/>
    <x v="1"/>
  </r>
  <r>
    <x v="2309"/>
    <x v="0"/>
    <x v="2"/>
    <n v="17.5"/>
    <n v="52.5"/>
    <x v="84"/>
    <d v="2025-03-28T00:00:00"/>
    <s v="M"/>
    <x v="4"/>
    <x v="0"/>
    <x v="0"/>
    <x v="3"/>
    <x v="1"/>
    <x v="12"/>
    <x v="1"/>
  </r>
  <r>
    <x v="2310"/>
    <x v="13"/>
    <x v="20"/>
    <n v="44.7"/>
    <n v="670.5"/>
    <x v="84"/>
    <d v="2025-03-27T00:00:00"/>
    <s v="M"/>
    <x v="0"/>
    <x v="1"/>
    <x v="0"/>
    <x v="3"/>
    <x v="3"/>
    <x v="12"/>
    <x v="1"/>
  </r>
  <r>
    <x v="2311"/>
    <x v="12"/>
    <x v="13"/>
    <n v="92.7"/>
    <n v="556.20000000000005"/>
    <x v="84"/>
    <d v="2025-03-28T00:00:00"/>
    <s v="F"/>
    <x v="2"/>
    <x v="1"/>
    <x v="0"/>
    <x v="3"/>
    <x v="1"/>
    <x v="12"/>
    <x v="2"/>
  </r>
  <r>
    <x v="2312"/>
    <x v="7"/>
    <x v="2"/>
    <n v="48.8"/>
    <n v="146.39999999999998"/>
    <x v="84"/>
    <d v="2025-03-28T00:00:00"/>
    <s v="F"/>
    <x v="2"/>
    <x v="0"/>
    <x v="0"/>
    <x v="3"/>
    <x v="1"/>
    <x v="12"/>
    <x v="2"/>
  </r>
  <r>
    <x v="2313"/>
    <x v="4"/>
    <x v="27"/>
    <n v="21.3"/>
    <n v="340.8"/>
    <x v="84"/>
    <d v="2025-03-30T00:00:00"/>
    <s v="F"/>
    <x v="3"/>
    <x v="3"/>
    <x v="0"/>
    <x v="3"/>
    <x v="5"/>
    <x v="12"/>
    <x v="2"/>
  </r>
  <r>
    <x v="2314"/>
    <x v="16"/>
    <x v="0"/>
    <n v="52.5"/>
    <n v="52.5"/>
    <x v="84"/>
    <d v="2025-03-27T00:00:00"/>
    <s v="F"/>
    <x v="0"/>
    <x v="0"/>
    <x v="0"/>
    <x v="3"/>
    <x v="3"/>
    <x v="12"/>
    <x v="2"/>
  </r>
  <r>
    <x v="2315"/>
    <x v="1"/>
    <x v="1"/>
    <n v="92.4"/>
    <n v="184.8"/>
    <x v="84"/>
    <d v="2025-04-01T00:00:00"/>
    <s v="F"/>
    <x v="0"/>
    <x v="2"/>
    <x v="0"/>
    <x v="3"/>
    <x v="4"/>
    <x v="12"/>
    <x v="2"/>
  </r>
  <r>
    <x v="2316"/>
    <x v="4"/>
    <x v="5"/>
    <n v="58.3"/>
    <n v="641.29999999999995"/>
    <x v="84"/>
    <d v="2025-03-28T00:00:00"/>
    <s v="M"/>
    <x v="1"/>
    <x v="2"/>
    <x v="0"/>
    <x v="3"/>
    <x v="1"/>
    <x v="12"/>
    <x v="1"/>
  </r>
  <r>
    <x v="2317"/>
    <x v="6"/>
    <x v="44"/>
    <n v="152.6"/>
    <n v="3509.7999999999997"/>
    <x v="85"/>
    <d v="2025-03-29T00:00:00"/>
    <s v=""/>
    <x v="0"/>
    <x v="0"/>
    <x v="0"/>
    <x v="3"/>
    <x v="1"/>
    <x v="12"/>
    <x v="0"/>
  </r>
  <r>
    <x v="2318"/>
    <x v="8"/>
    <x v="1"/>
    <n v="26"/>
    <n v="52"/>
    <x v="85"/>
    <d v="2025-03-27T00:00:00"/>
    <s v=""/>
    <x v="0"/>
    <x v="1"/>
    <x v="0"/>
    <x v="3"/>
    <x v="7"/>
    <x v="12"/>
    <x v="0"/>
  </r>
  <r>
    <x v="2319"/>
    <x v="1"/>
    <x v="12"/>
    <n v="33.1"/>
    <n v="132.4"/>
    <x v="85"/>
    <d v="2025-03-27T00:00:00"/>
    <s v="M"/>
    <x v="2"/>
    <x v="4"/>
    <x v="0"/>
    <x v="5"/>
    <x v="7"/>
    <x v="12"/>
    <x v="1"/>
  </r>
  <r>
    <x v="2320"/>
    <x v="18"/>
    <x v="0"/>
    <n v="51.4"/>
    <n v="51.4"/>
    <x v="85"/>
    <d v="2025-03-29T00:00:00"/>
    <s v="F"/>
    <x v="1"/>
    <x v="1"/>
    <x v="0"/>
    <x v="5"/>
    <x v="1"/>
    <x v="12"/>
    <x v="2"/>
  </r>
  <r>
    <x v="2321"/>
    <x v="8"/>
    <x v="1"/>
    <n v="30.2"/>
    <n v="60.4"/>
    <x v="85"/>
    <d v="2025-03-28T00:00:00"/>
    <s v="F"/>
    <x v="2"/>
    <x v="2"/>
    <x v="0"/>
    <x v="6"/>
    <x v="3"/>
    <x v="12"/>
    <x v="2"/>
  </r>
  <r>
    <x v="2322"/>
    <x v="2"/>
    <x v="13"/>
    <n v="97"/>
    <n v="582"/>
    <x v="85"/>
    <d v="2025-03-31T00:00:00"/>
    <s v="F"/>
    <x v="0"/>
    <x v="2"/>
    <x v="0"/>
    <x v="7"/>
    <x v="5"/>
    <x v="12"/>
    <x v="2"/>
  </r>
  <r>
    <x v="2323"/>
    <x v="2"/>
    <x v="0"/>
    <n v="76.900000000000006"/>
    <n v="76.900000000000006"/>
    <x v="85"/>
    <d v="2025-03-28T00:00:00"/>
    <s v="M"/>
    <x v="1"/>
    <x v="2"/>
    <x v="0"/>
    <x v="8"/>
    <x v="3"/>
    <x v="12"/>
    <x v="1"/>
  </r>
  <r>
    <x v="2324"/>
    <x v="7"/>
    <x v="13"/>
    <n v="36.1"/>
    <n v="216.60000000000002"/>
    <x v="85"/>
    <d v="2025-03-31T00:00:00"/>
    <s v="F"/>
    <x v="0"/>
    <x v="0"/>
    <x v="0"/>
    <x v="8"/>
    <x v="5"/>
    <x v="12"/>
    <x v="2"/>
  </r>
  <r>
    <x v="2325"/>
    <x v="1"/>
    <x v="3"/>
    <n v="34.4"/>
    <n v="240.79999999999998"/>
    <x v="85"/>
    <d v="2025-03-27T00:00:00"/>
    <s v="F"/>
    <x v="2"/>
    <x v="1"/>
    <x v="0"/>
    <x v="11"/>
    <x v="7"/>
    <x v="12"/>
    <x v="2"/>
  </r>
  <r>
    <x v="2326"/>
    <x v="1"/>
    <x v="31"/>
    <n v="53.4"/>
    <n v="1495.2"/>
    <x v="85"/>
    <d v="2025-03-29T00:00:00"/>
    <s v="F"/>
    <x v="1"/>
    <x v="0"/>
    <x v="0"/>
    <x v="18"/>
    <x v="1"/>
    <x v="12"/>
    <x v="2"/>
  </r>
  <r>
    <x v="2327"/>
    <x v="2"/>
    <x v="0"/>
    <n v="77.599999999999994"/>
    <n v="77.599999999999994"/>
    <x v="85"/>
    <d v="2025-03-28T00:00:00"/>
    <s v="F"/>
    <x v="0"/>
    <x v="1"/>
    <x v="0"/>
    <x v="19"/>
    <x v="3"/>
    <x v="12"/>
    <x v="2"/>
  </r>
  <r>
    <x v="2328"/>
    <x v="1"/>
    <x v="2"/>
    <n v="71.7"/>
    <n v="215.10000000000002"/>
    <x v="85"/>
    <d v="2025-03-30T00:00:00"/>
    <s v="F"/>
    <x v="1"/>
    <x v="0"/>
    <x v="0"/>
    <x v="19"/>
    <x v="2"/>
    <x v="12"/>
    <x v="2"/>
  </r>
  <r>
    <x v="2329"/>
    <x v="3"/>
    <x v="2"/>
    <n v="80.599999999999994"/>
    <n v="241.79999999999998"/>
    <x v="85"/>
    <d v="2025-03-28T00:00:00"/>
    <s v="M"/>
    <x v="4"/>
    <x v="1"/>
    <x v="0"/>
    <x v="19"/>
    <x v="3"/>
    <x v="12"/>
    <x v="1"/>
  </r>
  <r>
    <x v="2330"/>
    <x v="1"/>
    <x v="20"/>
    <n v="70"/>
    <n v="1050"/>
    <x v="85"/>
    <d v="2025-03-29T00:00:00"/>
    <s v="M"/>
    <x v="0"/>
    <x v="0"/>
    <x v="0"/>
    <x v="20"/>
    <x v="1"/>
    <x v="12"/>
    <x v="1"/>
  </r>
  <r>
    <x v="2331"/>
    <x v="4"/>
    <x v="13"/>
    <n v="27.3"/>
    <n v="163.80000000000001"/>
    <x v="85"/>
    <d v="2025-03-29T00:00:00"/>
    <s v="F"/>
    <x v="1"/>
    <x v="1"/>
    <x v="0"/>
    <x v="2"/>
    <x v="1"/>
    <x v="12"/>
    <x v="2"/>
  </r>
  <r>
    <x v="2332"/>
    <x v="8"/>
    <x v="21"/>
    <n v="37.6"/>
    <n v="526.4"/>
    <x v="85"/>
    <d v="2025-03-29T00:00:00"/>
    <s v="M"/>
    <x v="1"/>
    <x v="0"/>
    <x v="0"/>
    <x v="3"/>
    <x v="1"/>
    <x v="12"/>
    <x v="1"/>
  </r>
  <r>
    <x v="2333"/>
    <x v="5"/>
    <x v="2"/>
    <n v="36.6"/>
    <n v="109.80000000000001"/>
    <x v="85"/>
    <d v="2025-03-29T00:00:00"/>
    <s v="F"/>
    <x v="4"/>
    <x v="0"/>
    <x v="0"/>
    <x v="3"/>
    <x v="1"/>
    <x v="12"/>
    <x v="2"/>
  </r>
  <r>
    <x v="2334"/>
    <x v="13"/>
    <x v="0"/>
    <n v="55.2"/>
    <n v="55.2"/>
    <x v="85"/>
    <d v="2025-03-29T00:00:00"/>
    <s v="M"/>
    <x v="3"/>
    <x v="0"/>
    <x v="0"/>
    <x v="3"/>
    <x v="1"/>
    <x v="12"/>
    <x v="1"/>
  </r>
  <r>
    <x v="2335"/>
    <x v="6"/>
    <x v="9"/>
    <n v="59.9"/>
    <n v="299.5"/>
    <x v="85"/>
    <d v="2025-03-29T00:00:00"/>
    <s v="M"/>
    <x v="0"/>
    <x v="0"/>
    <x v="0"/>
    <x v="3"/>
    <x v="1"/>
    <x v="12"/>
    <x v="1"/>
  </r>
  <r>
    <x v="2336"/>
    <x v="6"/>
    <x v="0"/>
    <n v="44"/>
    <n v="44"/>
    <x v="85"/>
    <d v="2025-03-28T00:00:00"/>
    <s v="F"/>
    <x v="2"/>
    <x v="2"/>
    <x v="0"/>
    <x v="3"/>
    <x v="3"/>
    <x v="12"/>
    <x v="2"/>
  </r>
  <r>
    <x v="2337"/>
    <x v="9"/>
    <x v="1"/>
    <n v="68.7"/>
    <n v="137.4"/>
    <x v="85"/>
    <d v="2025-03-27T00:00:00"/>
    <s v="M"/>
    <x v="0"/>
    <x v="0"/>
    <x v="0"/>
    <x v="3"/>
    <x v="7"/>
    <x v="12"/>
    <x v="1"/>
  </r>
  <r>
    <x v="2338"/>
    <x v="5"/>
    <x v="1"/>
    <n v="61.6"/>
    <n v="123.2"/>
    <x v="85"/>
    <d v="2025-03-31T00:00:00"/>
    <s v="M"/>
    <x v="3"/>
    <x v="1"/>
    <x v="0"/>
    <x v="3"/>
    <x v="5"/>
    <x v="12"/>
    <x v="1"/>
  </r>
  <r>
    <x v="2339"/>
    <x v="7"/>
    <x v="3"/>
    <n v="51.8"/>
    <n v="362.59999999999997"/>
    <x v="85"/>
    <d v="2025-03-28T00:00:00"/>
    <s v="M"/>
    <x v="0"/>
    <x v="0"/>
    <x v="0"/>
    <x v="3"/>
    <x v="3"/>
    <x v="12"/>
    <x v="1"/>
  </r>
  <r>
    <x v="2340"/>
    <x v="8"/>
    <x v="7"/>
    <n v="46.2"/>
    <n v="462"/>
    <x v="85"/>
    <d v="2025-03-29T00:00:00"/>
    <s v="M"/>
    <x v="1"/>
    <x v="2"/>
    <x v="0"/>
    <x v="3"/>
    <x v="1"/>
    <x v="12"/>
    <x v="1"/>
  </r>
  <r>
    <x v="2341"/>
    <x v="0"/>
    <x v="1"/>
    <n v="19.399999999999999"/>
    <n v="38.799999999999997"/>
    <x v="85"/>
    <d v="2025-03-29T00:00:00"/>
    <s v="F"/>
    <x v="1"/>
    <x v="2"/>
    <x v="0"/>
    <x v="6"/>
    <x v="1"/>
    <x v="12"/>
    <x v="2"/>
  </r>
  <r>
    <x v="2342"/>
    <x v="11"/>
    <x v="2"/>
    <n v="52.1"/>
    <n v="156.30000000000001"/>
    <x v="85"/>
    <d v="2025-03-30T00:00:00"/>
    <s v="M"/>
    <x v="3"/>
    <x v="3"/>
    <x v="0"/>
    <x v="6"/>
    <x v="2"/>
    <x v="12"/>
    <x v="1"/>
  </r>
  <r>
    <x v="2343"/>
    <x v="6"/>
    <x v="0"/>
    <n v="74.900000000000006"/>
    <n v="74.900000000000006"/>
    <x v="85"/>
    <d v="2025-03-29T00:00:00"/>
    <s v="O"/>
    <x v="0"/>
    <x v="0"/>
    <x v="0"/>
    <x v="7"/>
    <x v="1"/>
    <x v="12"/>
    <x v="3"/>
  </r>
  <r>
    <x v="2344"/>
    <x v="9"/>
    <x v="3"/>
    <n v="49.6"/>
    <n v="347.2"/>
    <x v="85"/>
    <d v="2025-03-30T00:00:00"/>
    <s v="F"/>
    <x v="4"/>
    <x v="0"/>
    <x v="0"/>
    <x v="8"/>
    <x v="2"/>
    <x v="12"/>
    <x v="2"/>
  </r>
  <r>
    <x v="2345"/>
    <x v="16"/>
    <x v="12"/>
    <n v="82.8"/>
    <n v="331.2"/>
    <x v="86"/>
    <d v="2025-03-31T00:00:00"/>
    <s v="F"/>
    <x v="4"/>
    <x v="0"/>
    <x v="0"/>
    <x v="8"/>
    <x v="2"/>
    <x v="12"/>
    <x v="2"/>
  </r>
  <r>
    <x v="2346"/>
    <x v="2"/>
    <x v="0"/>
    <n v="97.7"/>
    <n v="97.7"/>
    <x v="86"/>
    <d v="2025-03-29T00:00:00"/>
    <s v="F"/>
    <x v="1"/>
    <x v="0"/>
    <x v="0"/>
    <x v="8"/>
    <x v="3"/>
    <x v="12"/>
    <x v="2"/>
  </r>
  <r>
    <x v="2347"/>
    <x v="6"/>
    <x v="9"/>
    <n v="83.6"/>
    <n v="418"/>
    <x v="86"/>
    <d v="2025-03-29T00:00:00"/>
    <s v="F"/>
    <x v="4"/>
    <x v="0"/>
    <x v="0"/>
    <x v="8"/>
    <x v="3"/>
    <x v="12"/>
    <x v="2"/>
  </r>
  <r>
    <x v="2348"/>
    <x v="8"/>
    <x v="9"/>
    <n v="23.5"/>
    <n v="117.5"/>
    <x v="86"/>
    <d v="2025-04-01T00:00:00"/>
    <s v="O"/>
    <x v="0"/>
    <x v="0"/>
    <x v="0"/>
    <x v="8"/>
    <x v="5"/>
    <x v="12"/>
    <x v="3"/>
  </r>
  <r>
    <x v="2349"/>
    <x v="9"/>
    <x v="2"/>
    <n v="44.6"/>
    <n v="133.80000000000001"/>
    <x v="86"/>
    <d v="2025-03-31T00:00:00"/>
    <s v="F"/>
    <x v="4"/>
    <x v="1"/>
    <x v="0"/>
    <x v="26"/>
    <x v="2"/>
    <x v="12"/>
    <x v="2"/>
  </r>
  <r>
    <x v="2350"/>
    <x v="0"/>
    <x v="2"/>
    <n v="20.100000000000001"/>
    <n v="60.300000000000004"/>
    <x v="86"/>
    <d v="2025-03-30T00:00:00"/>
    <s v="F"/>
    <x v="3"/>
    <x v="4"/>
    <x v="0"/>
    <x v="11"/>
    <x v="1"/>
    <x v="12"/>
    <x v="2"/>
  </r>
  <r>
    <x v="2351"/>
    <x v="2"/>
    <x v="9"/>
    <n v="153.6"/>
    <n v="768"/>
    <x v="86"/>
    <d v="2025-03-29T00:00:00"/>
    <s v="F"/>
    <x v="1"/>
    <x v="2"/>
    <x v="0"/>
    <x v="53"/>
    <x v="3"/>
    <x v="12"/>
    <x v="2"/>
  </r>
  <r>
    <x v="2352"/>
    <x v="1"/>
    <x v="1"/>
    <n v="71.8"/>
    <n v="143.6"/>
    <x v="86"/>
    <d v="2025-04-01T00:00:00"/>
    <s v="F"/>
    <x v="1"/>
    <x v="0"/>
    <x v="0"/>
    <x v="1"/>
    <x v="5"/>
    <x v="12"/>
    <x v="2"/>
  </r>
  <r>
    <x v="2353"/>
    <x v="10"/>
    <x v="0"/>
    <n v="64.7"/>
    <n v="64.7"/>
    <x v="86"/>
    <d v="2025-03-30T00:00:00"/>
    <s v=""/>
    <x v="0"/>
    <x v="1"/>
    <x v="0"/>
    <x v="1"/>
    <x v="1"/>
    <x v="12"/>
    <x v="0"/>
  </r>
  <r>
    <x v="2354"/>
    <x v="9"/>
    <x v="8"/>
    <n v="60.4"/>
    <n v="483.2"/>
    <x v="86"/>
    <d v="2025-03-30T00:00:00"/>
    <s v="F"/>
    <x v="3"/>
    <x v="2"/>
    <x v="0"/>
    <x v="2"/>
    <x v="1"/>
    <x v="12"/>
    <x v="2"/>
  </r>
  <r>
    <x v="2355"/>
    <x v="6"/>
    <x v="12"/>
    <n v="86"/>
    <n v="344"/>
    <x v="86"/>
    <d v="2025-03-31T00:00:00"/>
    <s v="F"/>
    <x v="2"/>
    <x v="2"/>
    <x v="0"/>
    <x v="22"/>
    <x v="2"/>
    <x v="12"/>
    <x v="2"/>
  </r>
  <r>
    <x v="2356"/>
    <x v="12"/>
    <x v="1"/>
    <n v="42.1"/>
    <n v="84.2"/>
    <x v="86"/>
    <d v="2025-03-29T00:00:00"/>
    <s v="F"/>
    <x v="4"/>
    <x v="1"/>
    <x v="0"/>
    <x v="34"/>
    <x v="3"/>
    <x v="12"/>
    <x v="2"/>
  </r>
  <r>
    <x v="2357"/>
    <x v="16"/>
    <x v="11"/>
    <n v="51.1"/>
    <n v="459.90000000000003"/>
    <x v="86"/>
    <d v="2025-03-29T00:00:00"/>
    <s v="M"/>
    <x v="2"/>
    <x v="1"/>
    <x v="0"/>
    <x v="3"/>
    <x v="3"/>
    <x v="12"/>
    <x v="1"/>
  </r>
  <r>
    <x v="2358"/>
    <x v="9"/>
    <x v="12"/>
    <n v="73.8"/>
    <n v="295.2"/>
    <x v="86"/>
    <d v="2025-03-29T00:00:00"/>
    <s v="M"/>
    <x v="4"/>
    <x v="0"/>
    <x v="0"/>
    <x v="3"/>
    <x v="3"/>
    <x v="12"/>
    <x v="1"/>
  </r>
  <r>
    <x v="2359"/>
    <x v="8"/>
    <x v="9"/>
    <n v="27"/>
    <n v="135"/>
    <x v="86"/>
    <d v="2025-03-31T00:00:00"/>
    <s v="F"/>
    <x v="2"/>
    <x v="2"/>
    <x v="0"/>
    <x v="3"/>
    <x v="2"/>
    <x v="12"/>
    <x v="2"/>
  </r>
  <r>
    <x v="2360"/>
    <x v="8"/>
    <x v="13"/>
    <n v="60.1"/>
    <n v="360.6"/>
    <x v="86"/>
    <d v="2025-03-29T00:00:00"/>
    <s v="M"/>
    <x v="3"/>
    <x v="0"/>
    <x v="0"/>
    <x v="3"/>
    <x v="3"/>
    <x v="12"/>
    <x v="1"/>
  </r>
  <r>
    <x v="2361"/>
    <x v="2"/>
    <x v="3"/>
    <n v="94.1"/>
    <n v="658.69999999999993"/>
    <x v="86"/>
    <d v="2025-03-30T00:00:00"/>
    <s v="F"/>
    <x v="4"/>
    <x v="1"/>
    <x v="0"/>
    <x v="3"/>
    <x v="1"/>
    <x v="12"/>
    <x v="2"/>
  </r>
  <r>
    <x v="2362"/>
    <x v="2"/>
    <x v="1"/>
    <n v="124.1"/>
    <n v="248.2"/>
    <x v="86"/>
    <d v="2025-03-28T00:00:00"/>
    <s v="F"/>
    <x v="2"/>
    <x v="3"/>
    <x v="0"/>
    <x v="43"/>
    <x v="7"/>
    <x v="12"/>
    <x v="2"/>
  </r>
  <r>
    <x v="2363"/>
    <x v="8"/>
    <x v="12"/>
    <n v="16.899999999999999"/>
    <n v="67.599999999999994"/>
    <x v="86"/>
    <d v="2025-03-31T00:00:00"/>
    <s v="M"/>
    <x v="3"/>
    <x v="0"/>
    <x v="0"/>
    <x v="6"/>
    <x v="2"/>
    <x v="12"/>
    <x v="1"/>
  </r>
  <r>
    <x v="2364"/>
    <x v="1"/>
    <x v="0"/>
    <n v="36.9"/>
    <n v="36.9"/>
    <x v="86"/>
    <d v="2025-03-29T00:00:00"/>
    <s v="M"/>
    <x v="0"/>
    <x v="0"/>
    <x v="0"/>
    <x v="6"/>
    <x v="3"/>
    <x v="12"/>
    <x v="1"/>
  </r>
  <r>
    <x v="2365"/>
    <x v="9"/>
    <x v="1"/>
    <n v="22.6"/>
    <n v="45.2"/>
    <x v="86"/>
    <d v="2025-04-10T00:00:00"/>
    <s v="F"/>
    <x v="2"/>
    <x v="1"/>
    <x v="0"/>
    <x v="8"/>
    <x v="10"/>
    <x v="12"/>
    <x v="2"/>
  </r>
  <r>
    <x v="2366"/>
    <x v="7"/>
    <x v="12"/>
    <n v="35"/>
    <n v="140"/>
    <x v="86"/>
    <d v="2025-04-02T00:00:00"/>
    <s v="M"/>
    <x v="3"/>
    <x v="1"/>
    <x v="0"/>
    <x v="8"/>
    <x v="0"/>
    <x v="12"/>
    <x v="1"/>
  </r>
  <r>
    <x v="2367"/>
    <x v="9"/>
    <x v="13"/>
    <n v="63.6"/>
    <n v="381.6"/>
    <x v="86"/>
    <d v="2025-04-04T00:00:00"/>
    <s v=""/>
    <x v="1"/>
    <x v="2"/>
    <x v="0"/>
    <x v="8"/>
    <x v="6"/>
    <x v="12"/>
    <x v="0"/>
  </r>
  <r>
    <x v="2368"/>
    <x v="15"/>
    <x v="12"/>
    <n v="78.599999999999994"/>
    <n v="314.39999999999998"/>
    <x v="86"/>
    <d v="2025-03-29T00:00:00"/>
    <s v="M"/>
    <x v="4"/>
    <x v="1"/>
    <x v="0"/>
    <x v="8"/>
    <x v="3"/>
    <x v="12"/>
    <x v="1"/>
  </r>
  <r>
    <x v="2369"/>
    <x v="3"/>
    <x v="1"/>
    <n v="38.5"/>
    <n v="77"/>
    <x v="86"/>
    <d v="2025-03-29T00:00:00"/>
    <s v="M"/>
    <x v="0"/>
    <x v="2"/>
    <x v="0"/>
    <x v="8"/>
    <x v="3"/>
    <x v="12"/>
    <x v="1"/>
  </r>
  <r>
    <x v="2370"/>
    <x v="8"/>
    <x v="5"/>
    <n v="71.5"/>
    <n v="786.5"/>
    <x v="86"/>
    <d v="2025-03-29T00:00:00"/>
    <s v="F"/>
    <x v="1"/>
    <x v="4"/>
    <x v="0"/>
    <x v="8"/>
    <x v="3"/>
    <x v="12"/>
    <x v="2"/>
  </r>
  <r>
    <x v="2371"/>
    <x v="6"/>
    <x v="12"/>
    <n v="121.4"/>
    <n v="485.6"/>
    <x v="86"/>
    <d v="2025-04-01T00:00:00"/>
    <s v="M"/>
    <x v="1"/>
    <x v="2"/>
    <x v="0"/>
    <x v="17"/>
    <x v="5"/>
    <x v="12"/>
    <x v="1"/>
  </r>
  <r>
    <x v="2372"/>
    <x v="11"/>
    <x v="0"/>
    <n v="40.200000000000003"/>
    <n v="40.200000000000003"/>
    <x v="86"/>
    <d v="2025-03-31T00:00:00"/>
    <s v="F"/>
    <x v="0"/>
    <x v="2"/>
    <x v="0"/>
    <x v="11"/>
    <x v="2"/>
    <x v="12"/>
    <x v="2"/>
  </r>
  <r>
    <x v="2373"/>
    <x v="5"/>
    <x v="9"/>
    <n v="31.9"/>
    <n v="159.5"/>
    <x v="86"/>
    <d v="2025-03-30T00:00:00"/>
    <s v="F"/>
    <x v="2"/>
    <x v="2"/>
    <x v="0"/>
    <x v="28"/>
    <x v="1"/>
    <x v="12"/>
    <x v="2"/>
  </r>
  <r>
    <x v="2374"/>
    <x v="14"/>
    <x v="9"/>
    <n v="15.8"/>
    <n v="79"/>
    <x v="87"/>
    <d v="2025-03-30T00:00:00"/>
    <s v="M"/>
    <x v="3"/>
    <x v="2"/>
    <x v="0"/>
    <x v="21"/>
    <x v="3"/>
    <x v="12"/>
    <x v="1"/>
  </r>
  <r>
    <x v="2375"/>
    <x v="10"/>
    <x v="1"/>
    <n v="25.1"/>
    <n v="50.2"/>
    <x v="87"/>
    <d v="2025-03-31T00:00:00"/>
    <s v=""/>
    <x v="1"/>
    <x v="0"/>
    <x v="0"/>
    <x v="21"/>
    <x v="1"/>
    <x v="12"/>
    <x v="0"/>
  </r>
  <r>
    <x v="2376"/>
    <x v="1"/>
    <x v="44"/>
    <n v="38.1"/>
    <n v="876.30000000000007"/>
    <x v="87"/>
    <d v="2025-03-30T00:00:00"/>
    <s v="F"/>
    <x v="4"/>
    <x v="0"/>
    <x v="0"/>
    <x v="1"/>
    <x v="3"/>
    <x v="12"/>
    <x v="2"/>
  </r>
  <r>
    <x v="2377"/>
    <x v="3"/>
    <x v="1"/>
    <n v="42.2"/>
    <n v="84.4"/>
    <x v="87"/>
    <d v="2025-03-31T00:00:00"/>
    <s v="F"/>
    <x v="0"/>
    <x v="2"/>
    <x v="0"/>
    <x v="1"/>
    <x v="1"/>
    <x v="12"/>
    <x v="2"/>
  </r>
  <r>
    <x v="2378"/>
    <x v="0"/>
    <x v="7"/>
    <n v="12.3"/>
    <n v="123"/>
    <x v="87"/>
    <d v="2025-03-30T00:00:00"/>
    <s v="F"/>
    <x v="4"/>
    <x v="0"/>
    <x v="0"/>
    <x v="2"/>
    <x v="3"/>
    <x v="12"/>
    <x v="2"/>
  </r>
  <r>
    <x v="2379"/>
    <x v="7"/>
    <x v="0"/>
    <n v="30.2"/>
    <n v="30.2"/>
    <x v="87"/>
    <d v="2025-03-31T00:00:00"/>
    <s v="F"/>
    <x v="1"/>
    <x v="2"/>
    <x v="0"/>
    <x v="34"/>
    <x v="1"/>
    <x v="12"/>
    <x v="2"/>
  </r>
  <r>
    <x v="2380"/>
    <x v="5"/>
    <x v="2"/>
    <n v="25.3"/>
    <n v="75.900000000000006"/>
    <x v="87"/>
    <d v="2025-04-01T00:00:00"/>
    <s v="F"/>
    <x v="2"/>
    <x v="0"/>
    <x v="0"/>
    <x v="3"/>
    <x v="2"/>
    <x v="12"/>
    <x v="2"/>
  </r>
  <r>
    <x v="2381"/>
    <x v="8"/>
    <x v="9"/>
    <n v="29.7"/>
    <n v="148.5"/>
    <x v="87"/>
    <d v="2025-03-31T00:00:00"/>
    <s v="M"/>
    <x v="3"/>
    <x v="0"/>
    <x v="0"/>
    <x v="3"/>
    <x v="1"/>
    <x v="12"/>
    <x v="1"/>
  </r>
  <r>
    <x v="2382"/>
    <x v="9"/>
    <x v="8"/>
    <n v="32.9"/>
    <n v="263.2"/>
    <x v="87"/>
    <d v="2025-03-30T00:00:00"/>
    <s v=""/>
    <x v="3"/>
    <x v="2"/>
    <x v="0"/>
    <x v="3"/>
    <x v="3"/>
    <x v="12"/>
    <x v="0"/>
  </r>
  <r>
    <x v="2383"/>
    <x v="10"/>
    <x v="1"/>
    <n v="43.6"/>
    <n v="87.2"/>
    <x v="87"/>
    <d v="2025-03-30T00:00:00"/>
    <s v="M"/>
    <x v="1"/>
    <x v="2"/>
    <x v="0"/>
    <x v="3"/>
    <x v="3"/>
    <x v="12"/>
    <x v="1"/>
  </r>
  <r>
    <x v="2384"/>
    <x v="15"/>
    <x v="12"/>
    <n v="78.400000000000006"/>
    <n v="313.60000000000002"/>
    <x v="87"/>
    <d v="2025-03-30T00:00:00"/>
    <s v="M"/>
    <x v="2"/>
    <x v="0"/>
    <x v="0"/>
    <x v="3"/>
    <x v="3"/>
    <x v="12"/>
    <x v="1"/>
  </r>
  <r>
    <x v="2385"/>
    <x v="6"/>
    <x v="1"/>
    <n v="56.5"/>
    <n v="113"/>
    <x v="87"/>
    <d v="2025-04-02T00:00:00"/>
    <s v="M"/>
    <x v="1"/>
    <x v="1"/>
    <x v="0"/>
    <x v="3"/>
    <x v="5"/>
    <x v="12"/>
    <x v="1"/>
  </r>
  <r>
    <x v="2386"/>
    <x v="16"/>
    <x v="0"/>
    <n v="36.700000000000003"/>
    <n v="36.700000000000003"/>
    <x v="87"/>
    <d v="2025-03-30T00:00:00"/>
    <s v="F"/>
    <x v="0"/>
    <x v="2"/>
    <x v="0"/>
    <x v="3"/>
    <x v="3"/>
    <x v="12"/>
    <x v="2"/>
  </r>
  <r>
    <x v="2387"/>
    <x v="2"/>
    <x v="12"/>
    <n v="103.6"/>
    <n v="414.4"/>
    <x v="87"/>
    <d v="2025-04-09T00:00:00"/>
    <s v="M"/>
    <x v="4"/>
    <x v="2"/>
    <x v="0"/>
    <x v="3"/>
    <x v="11"/>
    <x v="12"/>
    <x v="1"/>
  </r>
  <r>
    <x v="2388"/>
    <x v="8"/>
    <x v="13"/>
    <n v="16.2"/>
    <n v="97.199999999999989"/>
    <x v="87"/>
    <d v="2025-04-02T00:00:00"/>
    <s v="M"/>
    <x v="1"/>
    <x v="2"/>
    <x v="0"/>
    <x v="6"/>
    <x v="5"/>
    <x v="12"/>
    <x v="1"/>
  </r>
  <r>
    <x v="2389"/>
    <x v="8"/>
    <x v="1"/>
    <n v="20.2"/>
    <n v="40.4"/>
    <x v="87"/>
    <d v="2025-03-30T00:00:00"/>
    <s v="F"/>
    <x v="0"/>
    <x v="0"/>
    <x v="0"/>
    <x v="6"/>
    <x v="3"/>
    <x v="12"/>
    <x v="2"/>
  </r>
  <r>
    <x v="2390"/>
    <x v="11"/>
    <x v="1"/>
    <n v="26.9"/>
    <n v="53.8"/>
    <x v="87"/>
    <d v="2025-03-31T00:00:00"/>
    <s v="F"/>
    <x v="2"/>
    <x v="0"/>
    <x v="0"/>
    <x v="6"/>
    <x v="1"/>
    <x v="12"/>
    <x v="2"/>
  </r>
  <r>
    <x v="2391"/>
    <x v="1"/>
    <x v="1"/>
    <n v="82.4"/>
    <n v="164.8"/>
    <x v="87"/>
    <d v="2025-04-01T00:00:00"/>
    <s v=""/>
    <x v="0"/>
    <x v="0"/>
    <x v="0"/>
    <x v="7"/>
    <x v="2"/>
    <x v="12"/>
    <x v="0"/>
  </r>
  <r>
    <x v="2392"/>
    <x v="2"/>
    <x v="1"/>
    <n v="117.8"/>
    <n v="235.6"/>
    <x v="87"/>
    <d v="2025-03-31T00:00:00"/>
    <s v="M"/>
    <x v="1"/>
    <x v="2"/>
    <x v="0"/>
    <x v="8"/>
    <x v="1"/>
    <x v="12"/>
    <x v="1"/>
  </r>
  <r>
    <x v="2393"/>
    <x v="11"/>
    <x v="12"/>
    <n v="36.700000000000003"/>
    <n v="146.80000000000001"/>
    <x v="87"/>
    <d v="2025-03-30T00:00:00"/>
    <s v="M"/>
    <x v="1"/>
    <x v="0"/>
    <x v="0"/>
    <x v="8"/>
    <x v="3"/>
    <x v="12"/>
    <x v="1"/>
  </r>
  <r>
    <x v="2394"/>
    <x v="17"/>
    <x v="2"/>
    <n v="46.8"/>
    <n v="140.39999999999998"/>
    <x v="87"/>
    <d v="2025-03-30T00:00:00"/>
    <s v="M"/>
    <x v="4"/>
    <x v="2"/>
    <x v="0"/>
    <x v="10"/>
    <x v="3"/>
    <x v="12"/>
    <x v="1"/>
  </r>
  <r>
    <x v="2395"/>
    <x v="3"/>
    <x v="0"/>
    <n v="61.4"/>
    <n v="61.4"/>
    <x v="87"/>
    <d v="2025-03-30T00:00:00"/>
    <s v="M"/>
    <x v="1"/>
    <x v="0"/>
    <x v="0"/>
    <x v="10"/>
    <x v="3"/>
    <x v="12"/>
    <x v="1"/>
  </r>
  <r>
    <x v="2396"/>
    <x v="15"/>
    <x v="1"/>
    <n v="22.9"/>
    <n v="45.8"/>
    <x v="87"/>
    <d v="2025-03-30T00:00:00"/>
    <s v="M"/>
    <x v="0"/>
    <x v="0"/>
    <x v="0"/>
    <x v="11"/>
    <x v="3"/>
    <x v="12"/>
    <x v="1"/>
  </r>
  <r>
    <x v="2397"/>
    <x v="10"/>
    <x v="1"/>
    <n v="22.1"/>
    <n v="44.2"/>
    <x v="87"/>
    <d v="2025-03-30T00:00:00"/>
    <s v="F"/>
    <x v="4"/>
    <x v="0"/>
    <x v="0"/>
    <x v="11"/>
    <x v="3"/>
    <x v="12"/>
    <x v="2"/>
  </r>
  <r>
    <x v="2398"/>
    <x v="12"/>
    <x v="1"/>
    <n v="31"/>
    <n v="62"/>
    <x v="87"/>
    <d v="2025-03-31T00:00:00"/>
    <s v="F"/>
    <x v="2"/>
    <x v="0"/>
    <x v="0"/>
    <x v="18"/>
    <x v="1"/>
    <x v="12"/>
    <x v="2"/>
  </r>
  <r>
    <x v="2399"/>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B97C5C-742D-429D-AE06-FDE1A64C3482}" name="GENDER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O4:P9"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Row" multipleItemSelectionAllowed="1" showAll="0">
      <items count="5">
        <item x="2"/>
        <item x="1"/>
        <item x="3"/>
        <item x="0"/>
        <item t="default"/>
      </items>
    </pivotField>
    <pivotField showAll="0">
      <items count="8">
        <item sd="0" x="0"/>
        <item sd="0" x="1"/>
        <item sd="0" x="2"/>
        <item sd="0" x="4"/>
        <item sd="0" x="3"/>
        <item n="6 To 10" sd="0" x="5"/>
        <item n="More Than 10"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29">
    <chartFormat chart="26" format="8" series="1">
      <pivotArea type="data" outline="0" fieldPosition="0">
        <references count="2">
          <reference field="4294967294" count="1" selected="0">
            <x v="0"/>
          </reference>
          <reference field="14" count="1" selected="0">
            <x v="0"/>
          </reference>
        </references>
      </pivotArea>
    </chartFormat>
    <chartFormat chart="26" format="9" series="1">
      <pivotArea type="data" outline="0" fieldPosition="0">
        <references count="2">
          <reference field="4294967294" count="1" selected="0">
            <x v="0"/>
          </reference>
          <reference field="14" count="1" selected="0">
            <x v="1"/>
          </reference>
        </references>
      </pivotArea>
    </chartFormat>
    <chartFormat chart="26" format="10" series="1">
      <pivotArea type="data" outline="0" fieldPosition="0">
        <references count="2">
          <reference field="4294967294" count="1" selected="0">
            <x v="0"/>
          </reference>
          <reference field="14" count="1" selected="0">
            <x v="2"/>
          </reference>
        </references>
      </pivotArea>
    </chartFormat>
    <chartFormat chart="26" format="11" series="1">
      <pivotArea type="data" outline="0" fieldPosition="0">
        <references count="2">
          <reference field="4294967294" count="1" selected="0">
            <x v="0"/>
          </reference>
          <reference field="14" count="1" selected="0">
            <x v="3"/>
          </reference>
        </references>
      </pivotArea>
    </chartFormat>
    <chartFormat chart="28" format="0" series="1">
      <pivotArea type="data" outline="0" fieldPosition="0">
        <references count="1">
          <reference field="4294967294" count="1" selected="0">
            <x v="0"/>
          </reference>
        </references>
      </pivotArea>
    </chartFormat>
    <chartFormat chart="31" format="6" series="1">
      <pivotArea type="data" outline="0" fieldPosition="0">
        <references count="1">
          <reference field="4294967294" count="1" selected="0">
            <x v="0"/>
          </reference>
        </references>
      </pivotArea>
    </chartFormat>
    <chartFormat chart="31" format="7">
      <pivotArea type="data" outline="0" fieldPosition="0">
        <references count="2">
          <reference field="4294967294" count="1" selected="0">
            <x v="0"/>
          </reference>
          <reference field="14" count="1" selected="0">
            <x v="0"/>
          </reference>
        </references>
      </pivotArea>
    </chartFormat>
    <chartFormat chart="31" format="8">
      <pivotArea type="data" outline="0" fieldPosition="0">
        <references count="2">
          <reference field="4294967294" count="1" selected="0">
            <x v="0"/>
          </reference>
          <reference field="14" count="1" selected="0">
            <x v="1"/>
          </reference>
        </references>
      </pivotArea>
    </chartFormat>
    <chartFormat chart="31" format="9">
      <pivotArea type="data" outline="0" fieldPosition="0">
        <references count="2">
          <reference field="4294967294" count="1" selected="0">
            <x v="0"/>
          </reference>
          <reference field="14" count="1" selected="0">
            <x v="2"/>
          </reference>
        </references>
      </pivotArea>
    </chartFormat>
    <chartFormat chart="31" format="10">
      <pivotArea type="data" outline="0" fieldPosition="0">
        <references count="2">
          <reference field="4294967294" count="1" selected="0">
            <x v="0"/>
          </reference>
          <reference field="14" count="1" selected="0">
            <x v="3"/>
          </reference>
        </references>
      </pivotArea>
    </chartFormat>
    <chartFormat chart="34" format="1" series="1">
      <pivotArea type="data" outline="0" fieldPosition="0">
        <references count="1">
          <reference field="4294967294" count="1" selected="0">
            <x v="0"/>
          </reference>
        </references>
      </pivotArea>
    </chartFormat>
    <chartFormat chart="34" format="2">
      <pivotArea type="data" outline="0" fieldPosition="0">
        <references count="2">
          <reference field="4294967294" count="1" selected="0">
            <x v="0"/>
          </reference>
          <reference field="14" count="1" selected="0">
            <x v="0"/>
          </reference>
        </references>
      </pivotArea>
    </chartFormat>
    <chartFormat chart="34" format="3">
      <pivotArea type="data" outline="0" fieldPosition="0">
        <references count="2">
          <reference field="4294967294" count="1" selected="0">
            <x v="0"/>
          </reference>
          <reference field="14" count="1" selected="0">
            <x v="1"/>
          </reference>
        </references>
      </pivotArea>
    </chartFormat>
    <chartFormat chart="34" format="4">
      <pivotArea type="data" outline="0" fieldPosition="0">
        <references count="2">
          <reference field="4294967294" count="1" selected="0">
            <x v="0"/>
          </reference>
          <reference field="14" count="1" selected="0">
            <x v="2"/>
          </reference>
        </references>
      </pivotArea>
    </chartFormat>
    <chartFormat chart="34" format="5">
      <pivotArea type="data" outline="0" fieldPosition="0">
        <references count="2">
          <reference field="4294967294" count="1" selected="0">
            <x v="0"/>
          </reference>
          <reference field="14" count="1" selected="0">
            <x v="3"/>
          </reference>
        </references>
      </pivotArea>
    </chartFormat>
    <chartFormat chart="35" format="6" series="1">
      <pivotArea type="data" outline="0" fieldPosition="0">
        <references count="1">
          <reference field="4294967294" count="1" selected="0">
            <x v="0"/>
          </reference>
        </references>
      </pivotArea>
    </chartFormat>
    <chartFormat chart="35" format="7">
      <pivotArea type="data" outline="0" fieldPosition="0">
        <references count="2">
          <reference field="4294967294" count="1" selected="0">
            <x v="0"/>
          </reference>
          <reference field="14" count="1" selected="0">
            <x v="0"/>
          </reference>
        </references>
      </pivotArea>
    </chartFormat>
    <chartFormat chart="35" format="8">
      <pivotArea type="data" outline="0" fieldPosition="0">
        <references count="2">
          <reference field="4294967294" count="1" selected="0">
            <x v="0"/>
          </reference>
          <reference field="14" count="1" selected="0">
            <x v="1"/>
          </reference>
        </references>
      </pivotArea>
    </chartFormat>
    <chartFormat chart="35" format="9">
      <pivotArea type="data" outline="0" fieldPosition="0">
        <references count="2">
          <reference field="4294967294" count="1" selected="0">
            <x v="0"/>
          </reference>
          <reference field="14" count="1" selected="0">
            <x v="2"/>
          </reference>
        </references>
      </pivotArea>
    </chartFormat>
    <chartFormat chart="35" format="10">
      <pivotArea type="data" outline="0" fieldPosition="0">
        <references count="2">
          <reference field="4294967294" count="1" selected="0">
            <x v="0"/>
          </reference>
          <reference field="14" count="1" selected="0">
            <x v="3"/>
          </reference>
        </references>
      </pivotArea>
    </chartFormat>
    <chartFormat chart="36" format="6" series="1">
      <pivotArea type="data" outline="0" fieldPosition="0">
        <references count="1">
          <reference field="4294967294" count="1" selected="0">
            <x v="0"/>
          </reference>
        </references>
      </pivotArea>
    </chartFormat>
    <chartFormat chart="36" format="7">
      <pivotArea type="data" outline="0" fieldPosition="0">
        <references count="2">
          <reference field="4294967294" count="1" selected="0">
            <x v="0"/>
          </reference>
          <reference field="14" count="1" selected="0">
            <x v="0"/>
          </reference>
        </references>
      </pivotArea>
    </chartFormat>
    <chartFormat chart="36" format="8">
      <pivotArea type="data" outline="0" fieldPosition="0">
        <references count="2">
          <reference field="4294967294" count="1" selected="0">
            <x v="0"/>
          </reference>
          <reference field="14" count="1" selected="0">
            <x v="1"/>
          </reference>
        </references>
      </pivotArea>
    </chartFormat>
    <chartFormat chart="36" format="9">
      <pivotArea type="data" outline="0" fieldPosition="0">
        <references count="2">
          <reference field="4294967294" count="1" selected="0">
            <x v="0"/>
          </reference>
          <reference field="14" count="1" selected="0">
            <x v="2"/>
          </reference>
        </references>
      </pivotArea>
    </chartFormat>
    <chartFormat chart="36" format="10">
      <pivotArea type="data" outline="0" fieldPosition="0">
        <references count="2">
          <reference field="4294967294" count="1" selected="0">
            <x v="0"/>
          </reference>
          <reference field="14" count="1" selected="0">
            <x v="3"/>
          </reference>
        </references>
      </pivotArea>
    </chartFormat>
    <chartFormat chart="28" format="1">
      <pivotArea type="data" outline="0" fieldPosition="0">
        <references count="2">
          <reference field="4294967294" count="1" selected="0">
            <x v="0"/>
          </reference>
          <reference field="14" count="1" selected="0">
            <x v="0"/>
          </reference>
        </references>
      </pivotArea>
    </chartFormat>
    <chartFormat chart="28" format="2">
      <pivotArea type="data" outline="0" fieldPosition="0">
        <references count="2">
          <reference field="4294967294" count="1" selected="0">
            <x v="0"/>
          </reference>
          <reference field="14" count="1" selected="0">
            <x v="1"/>
          </reference>
        </references>
      </pivotArea>
    </chartFormat>
    <chartFormat chart="28" format="3">
      <pivotArea type="data" outline="0" fieldPosition="0">
        <references count="2">
          <reference field="4294967294" count="1" selected="0">
            <x v="0"/>
          </reference>
          <reference field="14" count="1" selected="0">
            <x v="2"/>
          </reference>
        </references>
      </pivotArea>
    </chartFormat>
    <chartFormat chart="28" format="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747C88-C601-49A8-A95F-9A4E902A543A}" name="Pivot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H4:M26"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Col" multipleItemSelectionAllowed="1" showAll="0">
      <items count="5">
        <item x="2"/>
        <item x="1"/>
        <item x="3"/>
        <item x="0"/>
        <item t="default"/>
      </items>
    </pivotField>
    <pivotField showAll="0">
      <items count="8">
        <item sd="0" x="0"/>
        <item sd="0" x="1"/>
        <item sd="0" x="2"/>
        <item sd="0" x="4"/>
        <item sd="0" x="3"/>
        <item n="6 To 10" sd="0" x="5"/>
        <item n="More Than 10"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8">
    <chartFormat chart="26" format="8" series="1">
      <pivotArea type="data" outline="0" fieldPosition="0">
        <references count="2">
          <reference field="4294967294" count="1" selected="0">
            <x v="0"/>
          </reference>
          <reference field="14" count="1" selected="0">
            <x v="0"/>
          </reference>
        </references>
      </pivotArea>
    </chartFormat>
    <chartFormat chart="26" format="9" series="1">
      <pivotArea type="data" outline="0" fieldPosition="0">
        <references count="2">
          <reference field="4294967294" count="1" selected="0">
            <x v="0"/>
          </reference>
          <reference field="14" count="1" selected="0">
            <x v="1"/>
          </reference>
        </references>
      </pivotArea>
    </chartFormat>
    <chartFormat chart="26" format="10" series="1">
      <pivotArea type="data" outline="0" fieldPosition="0">
        <references count="2">
          <reference field="4294967294" count="1" selected="0">
            <x v="0"/>
          </reference>
          <reference field="14" count="1" selected="0">
            <x v="2"/>
          </reference>
        </references>
      </pivotArea>
    </chartFormat>
    <chartFormat chart="26" format="11" series="1">
      <pivotArea type="data" outline="0" fieldPosition="0">
        <references count="2">
          <reference field="4294967294" count="1" selected="0">
            <x v="0"/>
          </reference>
          <reference field="14" count="1" selected="0">
            <x v="3"/>
          </reference>
        </references>
      </pivotArea>
    </chartFormat>
    <chartFormat chart="21" format="4" series="1">
      <pivotArea type="data" outline="0" fieldPosition="0">
        <references count="2">
          <reference field="4294967294" count="1" selected="0">
            <x v="0"/>
          </reference>
          <reference field="14" count="1" selected="0">
            <x v="0"/>
          </reference>
        </references>
      </pivotArea>
    </chartFormat>
    <chartFormat chart="21" format="5" series="1">
      <pivotArea type="data" outline="0" fieldPosition="0">
        <references count="2">
          <reference field="4294967294" count="1" selected="0">
            <x v="0"/>
          </reference>
          <reference field="14" count="1" selected="0">
            <x v="1"/>
          </reference>
        </references>
      </pivotArea>
    </chartFormat>
    <chartFormat chart="21" format="6" series="1">
      <pivotArea type="data" outline="0" fieldPosition="0">
        <references count="2">
          <reference field="4294967294" count="1" selected="0">
            <x v="0"/>
          </reference>
          <reference field="14" count="1" selected="0">
            <x v="2"/>
          </reference>
        </references>
      </pivotArea>
    </chartFormat>
    <chartFormat chart="21" format="7"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359055-4FCD-4A4F-93B5-98B87FBC0D2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E11:F19" firstHeaderRow="1" firstDataRow="1" firstDataCol="1"/>
  <pivotFields count="18">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axis="axisRow" showAll="0">
      <items count="8">
        <item sd="0" x="0"/>
        <item sd="0" x="1"/>
        <item sd="0" x="2"/>
        <item sd="0" x="4"/>
        <item sd="0" x="3"/>
        <item n="6-10" sd="0" x="5"/>
        <item n="10++"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2">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7CAA51-FC6A-4E63-A794-2257A446250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1:C25"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5"/>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9" format="8"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F8A460-D20B-4B02-82A5-BA18CA5BDD4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6">
    <i>
      <x/>
    </i>
    <i i="1">
      <x v="1"/>
    </i>
    <i i="2">
      <x v="2"/>
    </i>
    <i i="3">
      <x v="3"/>
    </i>
    <i i="4">
      <x v="4"/>
    </i>
    <i i="5">
      <x v="5"/>
    </i>
  </colItems>
  <dataFields count="6">
    <dataField name="Count of TX ID" fld="0" subtotal="count" baseField="0" baseItem="0"/>
    <dataField name="Sum of Quantity" fld="2" baseField="0" baseItem="0"/>
    <dataField name="Sum of Amount" fld="4" baseField="0" baseItem="0"/>
    <dataField name="Average of Rating C" fld="9" subtotal="average" baseField="0" baseItem="1" numFmtId="164"/>
    <dataField name="Average Order Value" fld="4" subtotal="average" baseField="0" baseItem="4" numFmtId="164"/>
    <dataField name="Average of Days to Deliver" fld="12" subtotal="average" baseField="0" baseItem="1" numFmtId="164"/>
  </dataFields>
  <formats count="3">
    <format dxfId="8">
      <pivotArea outline="0" collapsedLevelsAreSubtotals="1" fieldPosition="0">
        <references count="1">
          <reference field="4294967294" count="1" selected="0">
            <x v="3"/>
          </reference>
        </references>
      </pivotArea>
    </format>
    <format dxfId="7">
      <pivotArea outline="0" collapsedLevelsAreSubtotals="1" fieldPosition="0">
        <references count="1">
          <reference field="4294967294" count="1" selected="0">
            <x v="5"/>
          </reference>
        </references>
      </pivotArea>
    </format>
    <format dxfId="6">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89EB3A-EB75-41C9-8996-C15D6FF4F1E7}"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13:D71"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sortType="descending"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v="18"/>
    </i>
    <i r="1">
      <x v="36"/>
    </i>
    <i r="1">
      <x v="42"/>
    </i>
    <i r="1">
      <x v="33"/>
    </i>
    <i r="1">
      <x/>
    </i>
    <i r="1">
      <x v="40"/>
    </i>
    <i r="1">
      <x v="35"/>
    </i>
    <i r="1">
      <x v="6"/>
    </i>
    <i r="1">
      <x v="37"/>
    </i>
    <i r="1">
      <x v="48"/>
    </i>
    <i r="1">
      <x v="9"/>
    </i>
    <i r="1">
      <x v="14"/>
    </i>
    <i r="1">
      <x v="49"/>
    </i>
    <i r="1">
      <x v="55"/>
    </i>
    <i r="1">
      <x v="32"/>
    </i>
    <i r="1">
      <x v="29"/>
    </i>
    <i r="1">
      <x v="30"/>
    </i>
    <i r="1">
      <x v="38"/>
    </i>
    <i r="1">
      <x v="41"/>
    </i>
    <i r="1">
      <x v="53"/>
    </i>
    <i r="1">
      <x v="27"/>
    </i>
    <i r="1">
      <x v="23"/>
    </i>
    <i r="1">
      <x v="12"/>
    </i>
    <i r="1">
      <x v="44"/>
    </i>
    <i r="1">
      <x v="47"/>
    </i>
    <i r="1">
      <x v="11"/>
    </i>
    <i r="1">
      <x v="19"/>
    </i>
    <i r="1">
      <x v="43"/>
    </i>
    <i r="1">
      <x v="20"/>
    </i>
    <i r="1">
      <x v="15"/>
    </i>
    <i r="1">
      <x v="3"/>
    </i>
    <i r="1">
      <x v="8"/>
    </i>
    <i r="1">
      <x v="26"/>
    </i>
    <i r="1">
      <x v="16"/>
    </i>
    <i r="1">
      <x v="54"/>
    </i>
    <i r="1">
      <x v="28"/>
    </i>
    <i r="1">
      <x v="34"/>
    </i>
    <i r="1">
      <x v="50"/>
    </i>
    <i r="1">
      <x v="56"/>
    </i>
    <i r="1">
      <x v="39"/>
    </i>
    <i r="1">
      <x v="7"/>
    </i>
    <i r="1">
      <x v="4"/>
    </i>
    <i r="1">
      <x v="22"/>
    </i>
    <i r="1">
      <x v="2"/>
    </i>
    <i r="1">
      <x v="10"/>
    </i>
    <i r="1">
      <x v="13"/>
    </i>
    <i r="1">
      <x v="46"/>
    </i>
    <i r="1">
      <x v="21"/>
    </i>
    <i r="1">
      <x v="51"/>
    </i>
    <i r="1">
      <x v="31"/>
    </i>
    <i r="1">
      <x v="52"/>
    </i>
    <i r="1">
      <x v="25"/>
    </i>
    <i r="1">
      <x v="5"/>
    </i>
    <i r="1">
      <x v="57"/>
    </i>
    <i r="1">
      <x v="24"/>
    </i>
    <i r="1">
      <x v="45"/>
    </i>
    <i r="1">
      <x v="17"/>
    </i>
    <i r="1">
      <x v="1"/>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1D249D-1EFE-4E9E-B6A8-A61C935A9823}" name="GENDERAP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92F6A0-73DA-4E1D-9E53-B1493A5266F2}" name="PivotTable8"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chartFormat="36">
  <location ref="E3:F8"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Row" showAll="0">
      <items count="6">
        <item n="1⭐" x="3"/>
        <item n="2⭐" x="4"/>
        <item n="3⭐" x="1"/>
        <item n="4⭐" x="0"/>
        <item n="5⭐"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5">
    <i>
      <x/>
    </i>
    <i>
      <x v="1"/>
    </i>
    <i>
      <x v="2"/>
    </i>
    <i>
      <x v="3"/>
    </i>
    <i>
      <x v="4"/>
    </i>
  </rowItems>
  <colItems count="1">
    <i/>
  </colItems>
  <dataFields count="1">
    <dataField name="Count of TX ID" fld="0" subtotal="count" baseField="0" baseItem="0"/>
  </dataFields>
  <chartFormats count="12">
    <chartFormat chart="28" format="0" series="1">
      <pivotArea type="data" outline="0" fieldPosition="0">
        <references count="1">
          <reference field="4294967294" count="1" selected="0">
            <x v="0"/>
          </reference>
        </references>
      </pivotArea>
    </chartFormat>
    <chartFormat chart="33" format="96" series="1">
      <pivotArea type="data" outline="0" fieldPosition="0">
        <references count="1">
          <reference field="4294967294" count="1" selected="0">
            <x v="0"/>
          </reference>
        </references>
      </pivotArea>
    </chartFormat>
    <chartFormat chart="33" format="97" series="1">
      <pivotArea type="data" outline="0" fieldPosition="0">
        <references count="2">
          <reference field="4294967294" count="1" selected="0">
            <x v="0"/>
          </reference>
          <reference field="9" count="1" selected="0">
            <x v="1"/>
          </reference>
        </references>
      </pivotArea>
    </chartFormat>
    <chartFormat chart="33" format="98" series="1">
      <pivotArea type="data" outline="0" fieldPosition="0">
        <references count="2">
          <reference field="4294967294" count="1" selected="0">
            <x v="0"/>
          </reference>
          <reference field="9" count="1" selected="0">
            <x v="2"/>
          </reference>
        </references>
      </pivotArea>
    </chartFormat>
    <chartFormat chart="33" format="99" series="1">
      <pivotArea type="data" outline="0" fieldPosition="0">
        <references count="2">
          <reference field="4294967294" count="1" selected="0">
            <x v="0"/>
          </reference>
          <reference field="9" count="1" selected="0">
            <x v="3"/>
          </reference>
        </references>
      </pivotArea>
    </chartFormat>
    <chartFormat chart="33" format="100" series="1">
      <pivotArea type="data" outline="0" fieldPosition="0">
        <references count="2">
          <reference field="4294967294" count="1" selected="0">
            <x v="0"/>
          </reference>
          <reference field="9" count="1" selected="0">
            <x v="4"/>
          </reference>
        </references>
      </pivotArea>
    </chartFormat>
    <chartFormat chart="28" format="90" series="1">
      <pivotArea type="data" outline="0" fieldPosition="0">
        <references count="2">
          <reference field="4294967294" count="1" selected="0">
            <x v="0"/>
          </reference>
          <reference field="9" count="1" selected="0">
            <x v="1"/>
          </reference>
        </references>
      </pivotArea>
    </chartFormat>
    <chartFormat chart="28" format="91" series="1">
      <pivotArea type="data" outline="0" fieldPosition="0">
        <references count="2">
          <reference field="4294967294" count="1" selected="0">
            <x v="0"/>
          </reference>
          <reference field="9" count="1" selected="0">
            <x v="2"/>
          </reference>
        </references>
      </pivotArea>
    </chartFormat>
    <chartFormat chart="28" format="92" series="1">
      <pivotArea type="data" outline="0" fieldPosition="0">
        <references count="2">
          <reference field="4294967294" count="1" selected="0">
            <x v="0"/>
          </reference>
          <reference field="9" count="1" selected="0">
            <x v="3"/>
          </reference>
        </references>
      </pivotArea>
    </chartFormat>
    <chartFormat chart="28" format="93" series="1">
      <pivotArea type="data" outline="0" fieldPosition="0">
        <references count="2">
          <reference field="4294967294" count="1" selected="0">
            <x v="0"/>
          </reference>
          <reference field="9" count="1" selected="0">
            <x v="4"/>
          </reference>
        </references>
      </pivotArea>
    </chartFormat>
    <chartFormat chart="33" format="101" series="1">
      <pivotArea type="data" outline="0" fieldPosition="0">
        <references count="2">
          <reference field="4294967294" count="1" selected="0">
            <x v="0"/>
          </reference>
          <reference field="9" count="1" selected="0">
            <x v="0"/>
          </reference>
        </references>
      </pivotArea>
    </chartFormat>
    <chartFormat chart="28" format="94"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10BEFBB-597E-49F3-92CE-D9564AEF71D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9"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78811F35-0051-4D91-A6AE-438A06CC7B4E}" sourceName="Order Mode">
  <pivotTables>
    <pivotTable tabId="2" name="PivotTable4"/>
    <pivotTable tabId="6" name="PivotTable4"/>
    <pivotTable tabId="7" name="PivotTable7"/>
    <pivotTable tabId="7" name="PivotTable8"/>
    <pivotTable tabId="2" name="PivotTable1"/>
    <pivotTable tabId="2" name="PivotTable2"/>
    <pivotTable tabId="2" name="GENDERQUANTITY"/>
    <pivotTable tabId="2" name="PivotGender"/>
    <pivotTable tabId="6" name="GENDERAPP"/>
  </pivotTables>
  <data>
    <tabular pivotCacheId="669463646">
      <items count="5">
        <i x="0" s="1"/>
        <i x="3" s="1"/>
        <i x="4" s="1"/>
        <i x="2"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163A3712-A108-4DC4-8427-9534053A662B}" sourceName="Gender Value">
  <pivotTables>
    <pivotTable tabId="2" name="PivotTable4"/>
    <pivotTable tabId="6" name="PivotTable4"/>
    <pivotTable tabId="7" name="PivotTable7"/>
    <pivotTable tabId="7" name="PivotTable8"/>
    <pivotTable tabId="2" name="PivotTable1"/>
    <pivotTable tabId="2" name="PivotTable2"/>
  </pivotTables>
  <data>
    <tabular pivotCacheId="669463646">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94E71E40-BC3A-4AB4-B850-39D21F3A5DEE}" cache="Slicer_Order_Mode" caption="Order Mode" style="SlicerStyleLight1" rowHeight="234950"/>
  <slicer name="Gender Value" xr10:uid="{4D83A03B-78E0-4BBF-A8AC-3FD22CA0CA58}" cache="Slicer_Gender_Value" caption="Gender Value"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7B5F1ED7-16D3-4271-9CE0-8353F560534B}" cache="Slicer_Order_Mode" rowHeight="234950"/>
  <slicer name="Gender Value 1" xr10:uid="{740E13F7-201B-43EE-A302-9C317295078F}" cache="Slicer_Gender_Valu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EDEBF8-5F34-4563-B100-4EFFABED3C55}" name="orders" displayName="orders" ref="A1:O2401" totalsRowShown="0" headerRowDxfId="14">
  <tableColumns count="15">
    <tableColumn id="1" xr3:uid="{4DF3926A-E3F0-497C-9256-4C3594F93627}" name="TX ID"/>
    <tableColumn id="2" xr3:uid="{1511FEC3-2F25-41FD-B53E-7C706406F8FE}" name="Product"/>
    <tableColumn id="3" xr3:uid="{9C004107-FE9A-4D43-814E-BC1D8FB336EF}" name="Quantity"/>
    <tableColumn id="4" xr3:uid="{5FD044C4-55E5-4346-9199-BE3E4F12F4DA}" name="Unit Price"/>
    <tableColumn id="5" xr3:uid="{7EA037CF-26DA-4092-B929-9277C1632F61}" name="Amount"/>
    <tableColumn id="6" xr3:uid="{73FAAF91-0057-45C7-B387-3A77E4B6E9B8}" name="Order Date" dataDxfId="13"/>
    <tableColumn id="7" xr3:uid="{DC9624CD-E3A1-46F7-84C8-4D66E25874A8}" name="Ship Date" dataDxfId="12"/>
    <tableColumn id="8" xr3:uid="{55DF64FF-D80D-41F9-954F-499424412997}" name="Customer Gender"/>
    <tableColumn id="9" xr3:uid="{AB314A55-D17F-480C-A3DF-D2D4ACE29396}" name="Order Mode"/>
    <tableColumn id="10" xr3:uid="{BA2ECA0A-FA05-4DE1-9CE4-A825C4CC201C}" name="Rating C"/>
    <tableColumn id="15" xr3:uid="{EF9323DD-DF40-48EE-87BE-2F25A7C774FC}" name="State"/>
    <tableColumn id="14" xr3:uid="{23F0D1DB-FF9D-4DD7-B500-85F841158361}" name="Country"/>
    <tableColumn id="11" xr3:uid="{4FC0FFCC-4C35-4080-804D-E9127F68C819}" name="Days to Deliver" dataDxfId="11">
      <calculatedColumnFormula>orders[[#This Row],[Ship Date]]-orders[[#This Row],[Order Date]]</calculatedColumnFormula>
    </tableColumn>
    <tableColumn id="12" xr3:uid="{37F96020-55BC-4103-8A53-6EE446252A65}" name="Weeknum" dataDxfId="10">
      <calculatedColumnFormula>WEEKNUM(orders[[#This Row],[Order Date]])</calculatedColumnFormula>
    </tableColumn>
    <tableColumn id="13" xr3:uid="{6509BCEA-26FE-40C1-B15C-FFC7FE7EB6CA}" name="Gender Value" dataDxfId="9">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76B1A-E692-4B58-8C56-20CCBF4D07B8}">
  <dimension ref="A1:O2401"/>
  <sheetViews>
    <sheetView topLeftCell="A67" workbookViewId="0">
      <selection activeCell="G22" sqref="G22"/>
    </sheetView>
  </sheetViews>
  <sheetFormatPr defaultRowHeight="14.4" x14ac:dyDescent="0.3"/>
  <cols>
    <col min="1" max="1" width="9" bestFit="1" customWidth="1"/>
    <col min="2" max="2" width="19.44140625" bestFit="1" customWidth="1"/>
    <col min="3" max="3" width="8.33203125" bestFit="1" customWidth="1"/>
    <col min="4" max="4" width="9.109375" bestFit="1" customWidth="1"/>
    <col min="5" max="5" width="7.88671875" bestFit="1" customWidth="1"/>
    <col min="6" max="6" width="10.109375" bestFit="1" customWidth="1"/>
    <col min="7" max="7" width="9.6640625" bestFit="1" customWidth="1"/>
    <col min="8" max="8" width="15.77734375" bestFit="1" customWidth="1"/>
    <col min="9" max="9" width="11.21875" bestFit="1" customWidth="1"/>
    <col min="10" max="10" width="11.109375" customWidth="1"/>
    <col min="12" max="12" width="20" bestFit="1" customWidth="1"/>
    <col min="13" max="13" width="13.5546875" bestFit="1" customWidth="1"/>
    <col min="14" max="14" width="9.6640625" bestFit="1" customWidth="1"/>
    <col min="15" max="15" width="12.33203125" bestFit="1" customWidth="1"/>
  </cols>
  <sheetData>
    <row r="1" spans="1:15" x14ac:dyDescent="0.3">
      <c r="A1" s="2" t="s">
        <v>0</v>
      </c>
      <c r="B1" s="2" t="s">
        <v>1</v>
      </c>
      <c r="C1" s="2" t="s">
        <v>2</v>
      </c>
      <c r="D1" s="2" t="s">
        <v>3</v>
      </c>
      <c r="E1" s="2" t="s">
        <v>4</v>
      </c>
      <c r="F1" s="2" t="s">
        <v>5</v>
      </c>
      <c r="G1" s="2" t="s">
        <v>6</v>
      </c>
      <c r="H1" s="2" t="s">
        <v>7</v>
      </c>
      <c r="I1" s="2" t="s">
        <v>8</v>
      </c>
      <c r="J1" s="2" t="s">
        <v>9</v>
      </c>
      <c r="K1" s="2" t="s">
        <v>10</v>
      </c>
      <c r="L1" s="2" t="s">
        <v>2538</v>
      </c>
      <c r="M1" s="3" t="s">
        <v>12</v>
      </c>
      <c r="N1" s="3" t="s">
        <v>13</v>
      </c>
      <c r="O1" s="3" t="s">
        <v>14</v>
      </c>
    </row>
    <row r="2" spans="1:15" x14ac:dyDescent="0.3">
      <c r="A2" t="s">
        <v>15</v>
      </c>
      <c r="B2" t="s">
        <v>16</v>
      </c>
      <c r="C2">
        <v>1</v>
      </c>
      <c r="D2">
        <v>10.9</v>
      </c>
      <c r="E2">
        <v>10.9</v>
      </c>
      <c r="F2" s="1">
        <v>45658</v>
      </c>
      <c r="G2" s="1">
        <v>45663</v>
      </c>
      <c r="H2" t="s">
        <v>17</v>
      </c>
      <c r="I2" t="s">
        <v>18</v>
      </c>
      <c r="J2">
        <v>4</v>
      </c>
      <c r="K2" t="s">
        <v>19</v>
      </c>
      <c r="L2" t="s">
        <v>2539</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2540</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2541</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2541</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2542</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2542</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2542</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2542</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2542</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2542</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2542</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2542</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2543</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2544</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2545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2545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2545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2546</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2546</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2547</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2547</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2547</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2547</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2547</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2547</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2548</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2549</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2550</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2551</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2552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2553</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2554</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2542</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2542</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2542</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2542</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2542</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2542</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2542</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2542</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2542</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2555</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2545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2547</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2547</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2548</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2550</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2550</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2556</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2557</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2557</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2558</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2559</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2542</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2542</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2542</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2542</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2542</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2542</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2542</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2542</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2542</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2542</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2542</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2542</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2545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2545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2545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2545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2547</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2547</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2548</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2548</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2550</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2557</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2557</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2552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2559</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2560</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2542</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2542</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2542</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2542</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2542</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2542</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2542</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2542</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2542</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2561</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2561</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2545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2550</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2559</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2540</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2541</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2560</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2542</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2542</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2542</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2544</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2547</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2550</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2552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2542</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2542</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2542</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2542</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2542</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2542</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2542</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2542</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2542</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2542</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2562</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2563</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2561</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2545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2545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2545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2545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2546</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2546</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2547</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2547</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2547</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2547</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2564</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2548</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2548</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2548</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2556</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2541</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2565</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2560</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2542</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2542</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2542</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2542</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2542</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2542</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2542</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2542</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2542</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2542</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2542</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2542</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2542</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2542</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2563</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2561</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2545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2545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2545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2545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2546</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2546</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2547</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2547</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2547</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2547</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2548</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2550</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2550</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2556</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2556</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2556</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2566</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2540</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2541</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2542</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2542</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2542</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2542</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2542</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2542</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2542</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2542</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2542</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2542</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2542</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2567</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2561</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2545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2547</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2547</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2547</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2549</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2550</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2568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2556</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2557</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2557</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2557</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2559</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2540</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2541</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2542</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2542</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2542</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2542</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2542</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2542</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2542</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2542</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2542</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2542</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2545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2545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2547</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2548</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2556</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2569</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2559</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2559</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2541</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2542</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2542</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2542</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2542</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2543</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2545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2545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2547</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2547</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2547</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2550</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2550</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2570</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2556</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2558</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2540</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2560</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2542</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2542</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2542</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2542</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2567</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2545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2545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2547</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2547</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2548</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2549</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2550</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2559</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2559</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2559</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2541</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2571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2560</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2572</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2542</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2542</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2573</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2561</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2561</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2574</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2547</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2547</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2547</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2556</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2557</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2558</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2559</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2571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2542</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2542</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2542</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2542</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2542</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2542</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2542</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2542</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2542</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2542</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2542</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2542</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2575</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2561</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2561</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2545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2545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2545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2546</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2547</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2547</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2547</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2547</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2576</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2558</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2552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2540</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2541</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2541</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2542</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2542</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2542</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2542</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2542</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2542</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2542</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2542</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2577</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2545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2545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2545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2545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2547</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2548</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2550</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2550</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2559</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2540</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2560</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2560</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2542</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2542</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2542</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2542</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2542</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2542</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2542</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2542</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2542</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2542</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2578</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2555</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2545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2547</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2547</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2547</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2547</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2547</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2547</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2547</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2547</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2579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2559</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2559</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2559</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2559</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2540</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2540</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2580</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2541</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2542</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2542</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2542</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2542</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2542</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2542</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2542</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2542</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2542</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2542</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2562</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2545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2545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2547</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2547</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2547</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2548</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2549</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2550</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2556</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2559</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2540</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2542</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2542</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2542</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2542</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2542</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2542</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2542</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2542</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2542</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2545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2545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2546</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2546</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2546</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2547</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2547</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2547</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2550</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2556</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2552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2559</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2559</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2559</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2540</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2572</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2542</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2542</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2542</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2542</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2542</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2545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2545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2547</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2547</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2547</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2548</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2550</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2570</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2552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2541</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2560</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2542</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2542</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2542</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2542</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2542</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2542</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2542</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2542</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2542</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2542</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2542</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2542</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2542</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2542</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2542</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2542</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2575</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2562</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2563</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2545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2545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2547</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2547</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2547</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2547</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2564</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2550</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2550</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2550</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2552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2552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2559</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2540</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2542</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2542</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2542</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2542</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2542</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2542</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2581</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2544</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2545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2547</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2548</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2548</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2549</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2550</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2552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2559</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2559</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2540</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2560</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2542</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2542</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2542</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2542</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2542</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2542</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2542</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2542</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2542</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2542</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2542</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2542</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2575</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2563</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2563</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2561</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2547</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2548</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2549</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2549</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2550</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2550</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2550</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2556</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2552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2552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2582</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2560</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2542</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2542</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2542</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2542</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2542</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2542</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2542</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2542</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2542</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2545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2547</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2547</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2547</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2547</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2548</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2550</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2550</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2556</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2583</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2559</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2541</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2541</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2542</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2542</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2542</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2542</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2542</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2542</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2542</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2542</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2542</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2542</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2545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2545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2545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2546</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2546</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2546</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2547</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2547</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2547</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2547</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2549</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2549</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2550</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2570</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2576</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2557</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2551</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2552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2584</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2540</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2582</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2542</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2542</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2542</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2542</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2542</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2542</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2542</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2545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2545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2545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2545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2546</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2547</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2547</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2550</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2550</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2552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2559</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2559</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2540</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2560</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2542</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2542</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2542</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2585</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2547</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2547</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2547</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2547</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2564</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2548</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2548</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2550</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2550</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2550</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2558</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2552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2540</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2541</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2560</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2542</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2542</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2542</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2542</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2542</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2542</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2542</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2542</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2575</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2555</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2547</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2547</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2548</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2586</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2556</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2557</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2557</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2559</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2540</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2560</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2542</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2542</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2542</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2542</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2542</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2544</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2544</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2561</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2547</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2550</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2556</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2556</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2556</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2559</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2559</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2559</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2560</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2542</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2542</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2542</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2542</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2542</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2542</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2542</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2542</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2542</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2542</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2542</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2543</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2545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2545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2545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2546</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2546</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2547</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2547</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2547</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2548</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2549</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2550</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2550</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2550</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2583</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2559</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2582</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2542</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2542</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2542</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2542</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2542</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2542</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2542</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2542</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2542</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2542</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2542</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2542</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2542</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2545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2545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2545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2545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2546</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2547</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2547</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2547</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2547</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2547</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2547</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2548</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2550</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2550</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2557</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2569</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2552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2559</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2540</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2560</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2560</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2572</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2542</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2542</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2542</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2542</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2542</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2542</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2542</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2542</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2542</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2562</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2587</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2563</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2545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2545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2545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2545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2546</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2547</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2547</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2547</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2547</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2547</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2564</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2579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2549</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2550</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2552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2559</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2582</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2542</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2542</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2542</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2542</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2542</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2561</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2545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2545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2545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2545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2547</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2547</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2547</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2550</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2557</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2559</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2559</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2559</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2540</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2560</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2560</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2542</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2542</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2542</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2542</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2542</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2542</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2546</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2556</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2557</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2552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2559</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2541</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2541</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2560</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2542</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2542</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2542</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2542</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2542</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2542</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2542</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2542</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2542</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2542</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2542</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2575</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2555</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2563</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2563</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2544</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2545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2545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2545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2546</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2547</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2547</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2547</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2547</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2547</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2547</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2547</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2547</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2550</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2550</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2550</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2552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2540</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2542</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2542</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2542</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2581</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2545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2545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2547</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2547</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2547</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2579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2556</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2558</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2559</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2559</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2559</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2559</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2559</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2540</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2541</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2541</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2560</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2542</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2542</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2542</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2542</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2542</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2542</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2542</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2542</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2542</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2542</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2542</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2543</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2561</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2545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2545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2546</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2547</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2547</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2547</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2547</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2547</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2548</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2550</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2556</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2557</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2559</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2559</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2559</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2559</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2540</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2540</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2580</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2582</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2588</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2542</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2542</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2542</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2542</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2542</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2542</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2542</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2555</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2545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2547</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2547</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2547</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2576</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2556</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2557</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2589</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2540</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2541</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2541</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2542</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2542</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2542</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2542</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2542</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2542</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2542</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2542</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2575</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2587</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2563</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2563</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2544</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2545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2545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2547</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2547</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2547</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2547</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2549</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2550</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2550</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2557</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2557</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2569</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2590</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2552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2566</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2542</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2542</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2542</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2542</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2542</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2542</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2542</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2542</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2545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2546</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2549</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2550</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2553</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2541</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2582</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2560</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2542</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2542</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2542</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2542</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2542</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2542</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2542</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2542</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2542</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2542</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2542</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2542</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2545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2545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2574</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2546</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2546</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2547</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2547</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2547</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2547</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2547</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2549</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2550</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2550</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2557</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2557</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2558</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2559</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2541</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2560</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2542</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2542</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2542</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2542</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2542</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2542</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2542</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2542</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2542</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2542</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2542</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2542</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2563</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2545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2545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2545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2545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2546</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2547</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2547</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2547</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2547</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2547</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2548</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2550</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2550</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2556</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2557</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2552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2559</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2559</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2559</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2559</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2540</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2540</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2541</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2541</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2560</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2572</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2542</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2542</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2542</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2542</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2542</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2542</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2542</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2542</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2542</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2542</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2542</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2587</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2563</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2544</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2544</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2545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2545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2546</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2546</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2546</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2547</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2547</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2547</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2547</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2547</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2547</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2550</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2591</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2591</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2557</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2557</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2559</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2559</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2560</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2542</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2542</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2542</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2542</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2542</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2542</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2542</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2542</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2542</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2542</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2542</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2581</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2563</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2545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2545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2574</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2546</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2546</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2546</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2546</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2547</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2547</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2547</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2548</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2548</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2550</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2550</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2550</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2591</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2556</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2559</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2559</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2541</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2541</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2582</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2560</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2542</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2542</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2542</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2542</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2542</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2542</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2542</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2542</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2542</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2542</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2542</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2562</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2545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2545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2545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2547</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2547</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2550</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2550</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2558</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2590</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2552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2559</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2559</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2584</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2560</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2572</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2542</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2542</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2542</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2542</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2542</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2562</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2545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2545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2574</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2547</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2547</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2547</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2547</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2548</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2548</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2550</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2550</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2591</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2559</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2559</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2559</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2559</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2540</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2580</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2571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2542</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2542</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2542</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2542</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2542</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2542</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2542</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2542</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2542</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2587</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2561</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2545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2545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2547</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2547</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2547</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2547</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2547</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2548</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2548</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2549</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2558</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2559</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2541</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2560</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2542</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2542</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2542</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2542</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2581</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2545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2545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2574</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2547</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2547</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2547</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2547</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2548</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2550</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2550</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2550</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2570</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2556</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2556</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2557</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2557</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2559</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2560</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2542</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2542</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2542</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2542</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2542</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2545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2545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2547</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2547</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2547</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2548</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2557</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2552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2559</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2559</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2559</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2589</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2540</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2542</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2542</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2542</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2542</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2542</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2542</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2542</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2562</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2563</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2563</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2563</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2544</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2545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2545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2546</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2546</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2547</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2547</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2548</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2550</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2568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2558</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2559</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2540</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2540</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2560</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2572</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2542</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2542</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2542</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2542</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2542</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2542</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2542</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2542</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2542</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2542</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2542</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2542</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2542</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2542</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2542</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2575</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2545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2545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2545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2546</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2547</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2547</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2547</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2547</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2549</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2550</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2550</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2550</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2557</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2557</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2558</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2552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2559</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2589</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2540</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2540</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2541</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2542</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2542</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2542</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2542</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2542</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2542</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2542</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2542</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2544</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2544</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2545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2545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2545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2545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2546</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2547</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2547</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2547</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2547</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2547</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2547</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2547</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2564</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2549</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2550</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2550</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2550</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2550</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2550</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2591</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2568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2552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2559</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2559</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2592</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2540</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2540</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2540</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2541</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2588</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2542</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2542</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2542</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2542</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2542</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2542</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2542</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2542</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2581</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2555</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2544</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2561</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2545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2545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2545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2546</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2546</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2547</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2547</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2548</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2548</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2550</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2556</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2556</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2557</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2590</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2552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2559</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2559</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2540</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2540</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2540</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2541</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2560</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2593</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2542</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2542</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2542</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2542</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2542</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2542</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2542</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2542</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2542</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2542</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2542</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2555</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2561</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2545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2545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2546</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2547</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2547</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2547</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2547</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2547</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2548</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2548</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2557</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2557</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2557</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2557</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2558</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2590</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2552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2552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2566</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2559</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2559</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2540</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2540</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2542</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2542</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2542</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2542</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2542</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2542</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2562</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2587</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2561</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2545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2545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2545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2545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2546</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2547</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2547</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2547</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2564</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2548</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2550</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2550</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2576</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2552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2559</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2559</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2540</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2540</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2541</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2582</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2571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2571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2554</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2560</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2542</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2542</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2542</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2542</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2542</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2542</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2542</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2542</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2542</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2542</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2542</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2542</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2542</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2542</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2542</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2543</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2561</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2545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2547</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2547</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2547</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2547</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2548</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2548</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2548</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2550</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2550</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2550</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2558</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2559</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2559</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2540</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2541</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2572</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2542</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2542</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2542</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2542</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2542</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2542</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2581</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2545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2545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2547</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2547</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2547</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2564</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2564</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2552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2559</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2541</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2542</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2542</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2542</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2542</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2542</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2542</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2542</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2542</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2542</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2542</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2542</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2542</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2542</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2573</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2561</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2545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2545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2547</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2547</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2547</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2547</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2547</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2549</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2550</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2550</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2576</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2552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2559</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2540</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2540</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2582</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2542</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2542</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2542</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2542</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2542</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2542</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2542</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2542</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2562</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2555</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2544</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2545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2547</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2547</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2547</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2547</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2547</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2547</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2550</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2556</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2557</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2552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2559</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2559</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2540</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2542</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2542</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2542</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2542</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2542</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2542</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2542</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2542</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2542</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2542</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2542</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2574</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2547</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2547</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2547</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2547</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2564</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2564</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2548</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2548</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2549</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2549</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2557</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2552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2552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2559</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2584</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2541</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2560</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2560</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2560</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2542</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2542</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2542</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2542</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2542</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2555</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2561</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2545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2545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2547</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2547</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2547</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2547</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2548</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2550</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2550</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2556</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2569</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2540</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2541</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2560</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2560</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2572</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2542</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2542</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2542</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2542</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2542</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2542</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2575</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2563</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2561</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2545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2547</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2547</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2547</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2548</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2548</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2548</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2549</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2550</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2556</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2540</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2540</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2571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2542</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2542</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2542</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2542</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2542</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2542</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2544</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2545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2545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2545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2546</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2547</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2547</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2547</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2547</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2547</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2550</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2556</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2557</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2552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2559</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2559</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2540</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2565</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2572</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2542</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2542</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2542</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2542</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2542</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2542</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2542</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2542</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2542</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2542</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2542</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2542</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2545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2546</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2546</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2546</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2547</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2547</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2547</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2547</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2550</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2550</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2550</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2591</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2568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2556</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2559</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2559</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2559</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2559</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2540</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2540</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2560</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2542</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2542</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2542</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2542</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2542</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2542</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2542</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2542</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2542</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2542</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2542</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2542</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2563</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2563</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2545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2545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2545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2546</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2546</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2547</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2564</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2548</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2548</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2550</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2570</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2557</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2557</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2552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2559</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2559</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2559</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2540</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2540</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2582</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2560</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2560</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2542</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2542</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2542</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2542</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2542</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2542</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2542</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2542</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2578</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2546</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2546</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2546</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2547</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2547</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2547</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2547</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2547</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2547</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2550</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2566</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2559</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2540</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2541</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2588</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2542</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2542</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2542</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2542</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2542</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2542</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2542</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2567</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2555</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2563</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2545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2545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2545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2545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2547</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2547</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2547</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2548</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2549</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2549</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2550</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2550</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2557</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2552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2559</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2559</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2559</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2559</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2540</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2541</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2560</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2588</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2542</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2542</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2542</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2542</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2542</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2542</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2542</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2542</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2542</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2545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2546</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2547</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2547</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2547</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2547</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2547</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2564</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2550</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2550</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2550</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2556</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2556</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2559</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2540</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2542</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2542</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2562</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2545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2545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2545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2547</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2547</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2547</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2547</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2556</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2558</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2559</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2559</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2559</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2560</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2560</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2542</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2542</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2542</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2542</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2542</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2542</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2542</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2542</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2542</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2542</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2561</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2545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2545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2547</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2547</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2547</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2547</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2547</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2547</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2547</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2548</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2548</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2548</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2550</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2556</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2557</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2594</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2559</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2559</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2559</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2540</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2571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2560</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2560</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2542</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2542</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2542</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2542</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2542</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2542</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2542</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2542</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2542</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2542</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2542</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2575</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2563</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2561</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2546</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2547</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2547</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2547</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2547</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2547</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2547</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2547</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2547</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2564</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2550</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2550</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2550</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2550</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2556</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2557</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2558</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2558</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2552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2559</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2559</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2540</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2540</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2565</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2582</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2588</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2542</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2542</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2542</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2542</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2542</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2542</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2542</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2542</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2542</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2542</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2542</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2542</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2542</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2575</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2563</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2544</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2544</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2545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2545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2547</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2547</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2547</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2547</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2547</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2547</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2547</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2547</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2547</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2547</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2548</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2548</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2548</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2550</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2550</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2569</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2558</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2558</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2590</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2552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2559</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2540</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2540</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2542</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2542</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2542</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2542</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2542</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2542</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2542</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2542</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2542</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2542</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2542</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2542</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2545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2546</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2546</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2547</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2547</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2547</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2547</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2564</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2548</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2548</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2550</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2550</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2556</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2557</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2558</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2559</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2559</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2559</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2540</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2572</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2542</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2542</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2542</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2542</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2542</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2542</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2542</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2542</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2542</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2563</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2546</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2547</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2547</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2547</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2547</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2547</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2550</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2550</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2558</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2559</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2560</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2542</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2542</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2542</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2542</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2542</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2563</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2563</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2545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2547</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2547</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2548</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2550</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2570</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2556</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2557</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2559</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2589</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2540</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2540</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2540</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2540</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2540</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2571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2571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2560</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2542</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2542</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2542</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2542</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2542</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2542</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2542</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2563</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2545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2545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2545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2547</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2547</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2547</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2547</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2547</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2547</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2564</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2548</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2550</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2556</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2557</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2559</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2559</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2559</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2540</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2540</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2541</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2560</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2572</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2572</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2542</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2542</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2542</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2542</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2542</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2542</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2542</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2542</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2542</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2542</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2561</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2547</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2547</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2547</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2547</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2548</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2550</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2550</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2550</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2557</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2557</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2557</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2559</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2559</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2559</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2559</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2559</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2540</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2580</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2541</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2541</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2560</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2542</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2542</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2542</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2542</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2542</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2542</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2542</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2542</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2543</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2563</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2546</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2547</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2547</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2547</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2547</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2547</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2550</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2550</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2550</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2550</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2550</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2552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2540</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2560</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2542</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2542</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2542</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2542</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2542</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2542</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2542</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2542</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2542</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2542</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2542</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2542</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2542</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2542</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2542</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2544</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2545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2546</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2546</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2546</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2546</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2547</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2547</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2547</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2547</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2547</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2548</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2550</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2558</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2559</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2559</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2559</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2540</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2595</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2580</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2541</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2571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2560</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2560</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2542</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2542</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2542</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2542</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2542</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2542</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2542</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2542</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2542</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2542</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2542</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2542</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2542</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2542</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2542</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2562</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2562</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2563</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2561</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2545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2546</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2547</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2547</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2547</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2547</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2547</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2547</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2547</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2550</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2550</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2591</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2559</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2542</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2542</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2542</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2542</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2542</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2542</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2542</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2542</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2542</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2542</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2581</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2555</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2543</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2563</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2563</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2545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2545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2546</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2546</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2546</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2547</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2547</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2547</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2547</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2547</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2547</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2556</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2552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2559</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2559</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2559</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2540</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2580</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2541</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2560</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2560</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2542</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2542</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2542</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2542</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2542</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2542</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2542</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2542</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2542</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2542</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2542</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2542</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2543</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2544</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2545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2547</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2547</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2547</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2547</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2564</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2548</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2548</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2550</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2556</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2558</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2559</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2559</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2541</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2541</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2542</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2542</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2542</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2542</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2542</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2542</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2547</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2548</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2550</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2559</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2540</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2542</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2542</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2542</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2542</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2542</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2542</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2542</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2542</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2542</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2542</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2561</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2546</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2547</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2547</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2549</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2550</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2550</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2558</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2540</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2541</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2542</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2542</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2542</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2542</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2542</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2542</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2542</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2542</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2542</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2542</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2562</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2562</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2555</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2545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2547</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2547</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2550</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2550</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2550</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2550</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2550</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2550</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2569</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2559</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2584</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2589</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2540</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2540</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2540</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2541</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2560</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2542</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2542</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2542</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2542</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2542</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2542</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2562</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2563</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2563</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2544</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2545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2547</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2547</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2547</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2547</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2548</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2548</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2549</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2550</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2550</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2557</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2569</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2558</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2552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2592</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2541</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2541</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2582</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2560</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2588</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2542</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2542</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2542</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2542</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2542</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2542</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2542</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2542</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2542</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2542</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2542</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2542</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2542</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2542</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2542</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2542</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2542</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2544</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2544</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2545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2546</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2547</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2547</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2550</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2556</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2557</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2557</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2557</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2558</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2541</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2542</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2542</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2542</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2542</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2542</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2542</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2542</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2542</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2542</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2545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2545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2546</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2547</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2547</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2547</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2547</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2547</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2564</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2550</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2591</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2540</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2540</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2541</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2560</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2572</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2542</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2542</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2542</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2542</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2542</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2581</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2545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2545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2547</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2547</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2547</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2547</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2547</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2547</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2550</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2566</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2559</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2559</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2540</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2540</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2541</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2572</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2542</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2542</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2542</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2542</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2542</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2542</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2542</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2542</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2545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2545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2545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2546</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2547</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2547</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2549</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2549</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2550</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2550</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2556</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2552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013A3-5E2A-4188-9D8F-9D9519A258D8}">
  <dimension ref="A2:P26"/>
  <sheetViews>
    <sheetView topLeftCell="A24" workbookViewId="0">
      <selection activeCell="F42" sqref="F42"/>
    </sheetView>
  </sheetViews>
  <sheetFormatPr defaultRowHeight="14.4" x14ac:dyDescent="0.3"/>
  <cols>
    <col min="1" max="1" width="12.5546875" bestFit="1" customWidth="1"/>
    <col min="2" max="2" width="14.88671875" bestFit="1" customWidth="1"/>
    <col min="3" max="3" width="14.44140625" bestFit="1" customWidth="1"/>
    <col min="4" max="4" width="17.6640625" bestFit="1" customWidth="1"/>
    <col min="5" max="5" width="18.5546875" bestFit="1" customWidth="1"/>
    <col min="6" max="6" width="23.33203125" bestFit="1" customWidth="1"/>
    <col min="7" max="7" width="10.33203125" bestFit="1" customWidth="1"/>
    <col min="8" max="8" width="19.44140625" bestFit="1" customWidth="1"/>
    <col min="9" max="9" width="15.5546875" bestFit="1" customWidth="1"/>
    <col min="10" max="10" width="5.21875" bestFit="1" customWidth="1"/>
    <col min="11" max="11" width="5.77734375" bestFit="1" customWidth="1"/>
    <col min="12" max="12" width="9.21875" bestFit="1" customWidth="1"/>
    <col min="13" max="13" width="10.77734375" bestFit="1" customWidth="1"/>
    <col min="15" max="15" width="12.5546875" bestFit="1" customWidth="1"/>
    <col min="16" max="16" width="14.88671875" bestFit="1" customWidth="1"/>
    <col min="17" max="17" width="5.21875" bestFit="1" customWidth="1"/>
    <col min="18" max="18" width="5.77734375" bestFit="1" customWidth="1"/>
    <col min="19" max="19" width="9.21875" bestFit="1" customWidth="1"/>
    <col min="20" max="20" width="10.77734375" bestFit="1" customWidth="1"/>
  </cols>
  <sheetData>
    <row r="2" spans="1:16" x14ac:dyDescent="0.3">
      <c r="I2" s="7" t="s">
        <v>2601</v>
      </c>
      <c r="O2" s="7" t="s">
        <v>2602</v>
      </c>
    </row>
    <row r="3" spans="1:16" x14ac:dyDescent="0.3">
      <c r="A3" t="s">
        <v>2518</v>
      </c>
      <c r="B3" t="s">
        <v>2519</v>
      </c>
      <c r="C3" t="s">
        <v>2520</v>
      </c>
      <c r="D3" t="s">
        <v>2521</v>
      </c>
      <c r="E3" t="s">
        <v>2527</v>
      </c>
      <c r="F3" t="s">
        <v>2522</v>
      </c>
    </row>
    <row r="4" spans="1:16" x14ac:dyDescent="0.3">
      <c r="A4" s="24">
        <v>2400</v>
      </c>
      <c r="B4" s="24">
        <v>11997</v>
      </c>
      <c r="C4" s="24">
        <v>649019.80000000144</v>
      </c>
      <c r="D4" s="6">
        <v>3.9620833333333332</v>
      </c>
      <c r="E4" s="6">
        <v>270.42491666666729</v>
      </c>
      <c r="F4" s="6">
        <v>2.3424999999999998</v>
      </c>
      <c r="H4" s="8" t="s">
        <v>2519</v>
      </c>
      <c r="I4" s="8" t="s">
        <v>2535</v>
      </c>
      <c r="O4" s="8" t="s">
        <v>2533</v>
      </c>
      <c r="P4" t="s">
        <v>2519</v>
      </c>
    </row>
    <row r="5" spans="1:16" x14ac:dyDescent="0.3">
      <c r="H5" s="8" t="s">
        <v>2533</v>
      </c>
      <c r="I5" t="s">
        <v>2531</v>
      </c>
      <c r="J5" t="s">
        <v>2530</v>
      </c>
      <c r="K5" t="s">
        <v>2532</v>
      </c>
      <c r="L5" t="s">
        <v>2529</v>
      </c>
      <c r="M5" t="s">
        <v>2534</v>
      </c>
      <c r="O5" s="9" t="s">
        <v>2531</v>
      </c>
      <c r="P5">
        <v>6272</v>
      </c>
    </row>
    <row r="6" spans="1:16" x14ac:dyDescent="0.3">
      <c r="A6" t="s">
        <v>2523</v>
      </c>
      <c r="B6" t="s">
        <v>2505</v>
      </c>
      <c r="C6" t="s">
        <v>2524</v>
      </c>
      <c r="D6" t="s">
        <v>2525</v>
      </c>
      <c r="E6" t="s">
        <v>2526</v>
      </c>
      <c r="F6" t="s">
        <v>2528</v>
      </c>
      <c r="H6" s="9" t="s">
        <v>44</v>
      </c>
      <c r="I6">
        <v>744</v>
      </c>
      <c r="J6">
        <v>713</v>
      </c>
      <c r="K6">
        <v>90</v>
      </c>
      <c r="L6">
        <v>98</v>
      </c>
      <c r="M6">
        <v>1645</v>
      </c>
      <c r="O6" s="9" t="s">
        <v>2530</v>
      </c>
      <c r="P6">
        <v>4672</v>
      </c>
    </row>
    <row r="7" spans="1:16" x14ac:dyDescent="0.3">
      <c r="A7" t="str">
        <f>TEXT(A4,"#,##")</f>
        <v>2,400</v>
      </c>
      <c r="B7" t="str">
        <f>TEXT(B4,"#,##")</f>
        <v>11,997</v>
      </c>
      <c r="C7" t="str">
        <f>TEXT(C4,"$#,##,.0k")</f>
        <v>$649.0k</v>
      </c>
      <c r="D7" t="str">
        <f>TEXT(D4,"0.0")</f>
        <v>4.0</v>
      </c>
      <c r="E7" t="str">
        <f>TEXT(F4,"0.0")</f>
        <v>2.3</v>
      </c>
      <c r="F7" t="str">
        <f>TEXT(E4,"$#,##.0")</f>
        <v>$270.4</v>
      </c>
      <c r="H7" s="9" t="s">
        <v>39</v>
      </c>
      <c r="I7">
        <v>716</v>
      </c>
      <c r="J7">
        <v>598</v>
      </c>
      <c r="K7">
        <v>18</v>
      </c>
      <c r="L7">
        <v>214</v>
      </c>
      <c r="M7">
        <v>1546</v>
      </c>
      <c r="O7" s="9" t="s">
        <v>2532</v>
      </c>
      <c r="P7">
        <v>317</v>
      </c>
    </row>
    <row r="8" spans="1:16" x14ac:dyDescent="0.3">
      <c r="H8" s="9" t="s">
        <v>26</v>
      </c>
      <c r="I8">
        <v>627</v>
      </c>
      <c r="J8">
        <v>393</v>
      </c>
      <c r="K8">
        <v>29</v>
      </c>
      <c r="L8">
        <v>137</v>
      </c>
      <c r="M8">
        <v>1186</v>
      </c>
      <c r="O8" s="9" t="s">
        <v>2529</v>
      </c>
      <c r="P8">
        <v>736</v>
      </c>
    </row>
    <row r="9" spans="1:16" x14ac:dyDescent="0.3">
      <c r="A9" s="7"/>
      <c r="H9" s="9" t="s">
        <v>22</v>
      </c>
      <c r="I9">
        <v>568</v>
      </c>
      <c r="J9">
        <v>306</v>
      </c>
      <c r="K9">
        <v>22</v>
      </c>
      <c r="L9">
        <v>16</v>
      </c>
      <c r="M9">
        <v>912</v>
      </c>
      <c r="O9" s="9" t="s">
        <v>2534</v>
      </c>
      <c r="P9">
        <v>11997</v>
      </c>
    </row>
    <row r="10" spans="1:16" x14ac:dyDescent="0.3">
      <c r="A10" t="s">
        <v>2600</v>
      </c>
      <c r="H10" s="9" t="s">
        <v>54</v>
      </c>
      <c r="I10">
        <v>482</v>
      </c>
      <c r="J10">
        <v>295</v>
      </c>
      <c r="K10">
        <v>8</v>
      </c>
      <c r="L10">
        <v>22</v>
      </c>
      <c r="M10">
        <v>807</v>
      </c>
    </row>
    <row r="11" spans="1:16" x14ac:dyDescent="0.3">
      <c r="A11" s="8" t="s">
        <v>2533</v>
      </c>
      <c r="B11" t="s">
        <v>2519</v>
      </c>
      <c r="C11" t="s">
        <v>2520</v>
      </c>
      <c r="E11" s="8" t="s">
        <v>2533</v>
      </c>
      <c r="F11" t="s">
        <v>2518</v>
      </c>
      <c r="H11" s="9" t="s">
        <v>16</v>
      </c>
      <c r="I11">
        <v>428</v>
      </c>
      <c r="J11">
        <v>293</v>
      </c>
      <c r="L11">
        <v>24</v>
      </c>
      <c r="M11">
        <v>745</v>
      </c>
    </row>
    <row r="12" spans="1:16" x14ac:dyDescent="0.3">
      <c r="A12" s="9">
        <v>1</v>
      </c>
      <c r="B12" s="24">
        <v>546</v>
      </c>
      <c r="C12" s="10">
        <v>32413.300000000003</v>
      </c>
      <c r="E12" s="9">
        <v>1</v>
      </c>
      <c r="F12" s="24">
        <v>397</v>
      </c>
      <c r="H12" s="9" t="s">
        <v>46</v>
      </c>
      <c r="I12">
        <v>445</v>
      </c>
      <c r="J12">
        <v>202</v>
      </c>
      <c r="K12">
        <v>14</v>
      </c>
      <c r="L12">
        <v>39</v>
      </c>
      <c r="M12">
        <v>700</v>
      </c>
    </row>
    <row r="13" spans="1:16" x14ac:dyDescent="0.3">
      <c r="A13" s="9">
        <v>2</v>
      </c>
      <c r="B13" s="24">
        <v>905</v>
      </c>
      <c r="C13" s="10">
        <v>49562.999999999993</v>
      </c>
      <c r="E13" s="9">
        <v>2</v>
      </c>
      <c r="F13" s="24">
        <v>540</v>
      </c>
      <c r="H13" s="9" t="s">
        <v>32</v>
      </c>
      <c r="I13">
        <v>431</v>
      </c>
      <c r="J13">
        <v>187</v>
      </c>
      <c r="K13">
        <v>14</v>
      </c>
      <c r="L13">
        <v>15</v>
      </c>
      <c r="M13">
        <v>647</v>
      </c>
    </row>
    <row r="14" spans="1:16" x14ac:dyDescent="0.3">
      <c r="A14" s="9">
        <v>3</v>
      </c>
      <c r="B14" s="24">
        <v>796</v>
      </c>
      <c r="C14" s="10">
        <v>41700.400000000016</v>
      </c>
      <c r="E14" s="9">
        <v>3</v>
      </c>
      <c r="F14" s="24">
        <v>375</v>
      </c>
      <c r="H14" s="9" t="s">
        <v>42</v>
      </c>
      <c r="I14">
        <v>264</v>
      </c>
      <c r="J14">
        <v>318</v>
      </c>
      <c r="K14">
        <v>15</v>
      </c>
      <c r="L14">
        <v>9</v>
      </c>
      <c r="M14">
        <v>606</v>
      </c>
    </row>
    <row r="15" spans="1:16" x14ac:dyDescent="0.3">
      <c r="A15" s="9">
        <v>4</v>
      </c>
      <c r="B15" s="24">
        <v>913</v>
      </c>
      <c r="C15" s="10">
        <v>46782.599999999984</v>
      </c>
      <c r="E15" s="9">
        <v>4</v>
      </c>
      <c r="F15" s="24">
        <v>246</v>
      </c>
      <c r="H15" s="9" t="s">
        <v>37</v>
      </c>
      <c r="I15">
        <v>296</v>
      </c>
      <c r="J15">
        <v>275</v>
      </c>
      <c r="K15">
        <v>9</v>
      </c>
      <c r="L15">
        <v>23</v>
      </c>
      <c r="M15">
        <v>603</v>
      </c>
    </row>
    <row r="16" spans="1:16" x14ac:dyDescent="0.3">
      <c r="A16" s="9">
        <v>5</v>
      </c>
      <c r="B16" s="24">
        <v>844</v>
      </c>
      <c r="C16" s="10">
        <v>42676.100000000006</v>
      </c>
      <c r="E16" s="9">
        <v>5</v>
      </c>
      <c r="F16" s="24">
        <v>195</v>
      </c>
      <c r="H16" s="9" t="s">
        <v>123</v>
      </c>
      <c r="I16">
        <v>153</v>
      </c>
      <c r="J16">
        <v>246</v>
      </c>
      <c r="K16">
        <v>30</v>
      </c>
      <c r="L16">
        <v>8</v>
      </c>
      <c r="M16">
        <v>437</v>
      </c>
    </row>
    <row r="17" spans="1:13" x14ac:dyDescent="0.3">
      <c r="A17" s="9">
        <v>6</v>
      </c>
      <c r="B17" s="24">
        <v>1202</v>
      </c>
      <c r="C17" s="10">
        <v>62910.7</v>
      </c>
      <c r="E17" s="9" t="s">
        <v>2599</v>
      </c>
      <c r="F17" s="24">
        <v>414</v>
      </c>
      <c r="H17" s="9" t="s">
        <v>146</v>
      </c>
      <c r="I17">
        <v>189</v>
      </c>
      <c r="J17">
        <v>168</v>
      </c>
      <c r="K17">
        <v>10</v>
      </c>
      <c r="L17">
        <v>31</v>
      </c>
      <c r="M17">
        <v>398</v>
      </c>
    </row>
    <row r="18" spans="1:13" x14ac:dyDescent="0.3">
      <c r="A18" s="9">
        <v>7</v>
      </c>
      <c r="B18" s="24">
        <v>935</v>
      </c>
      <c r="C18" s="10">
        <v>50332.200000000004</v>
      </c>
      <c r="E18" s="9" t="s">
        <v>2598</v>
      </c>
      <c r="F18" s="24">
        <v>233</v>
      </c>
      <c r="H18" s="9" t="s">
        <v>69</v>
      </c>
      <c r="I18">
        <v>234</v>
      </c>
      <c r="J18">
        <v>93</v>
      </c>
      <c r="K18">
        <v>19</v>
      </c>
      <c r="L18">
        <v>24</v>
      </c>
      <c r="M18">
        <v>370</v>
      </c>
    </row>
    <row r="19" spans="1:13" x14ac:dyDescent="0.3">
      <c r="A19" s="9">
        <v>8</v>
      </c>
      <c r="B19" s="24">
        <v>1128</v>
      </c>
      <c r="C19" s="10">
        <v>58760.599999999977</v>
      </c>
      <c r="E19" s="9" t="s">
        <v>2534</v>
      </c>
      <c r="F19" s="24">
        <v>2400</v>
      </c>
      <c r="H19" s="9" t="s">
        <v>30</v>
      </c>
      <c r="I19">
        <v>146</v>
      </c>
      <c r="J19">
        <v>94</v>
      </c>
      <c r="K19">
        <v>4</v>
      </c>
      <c r="L19">
        <v>28</v>
      </c>
      <c r="M19">
        <v>272</v>
      </c>
    </row>
    <row r="20" spans="1:13" x14ac:dyDescent="0.3">
      <c r="A20" s="9">
        <v>9</v>
      </c>
      <c r="B20" s="24">
        <v>1007</v>
      </c>
      <c r="C20" s="10">
        <v>52017.299999999996</v>
      </c>
      <c r="H20" s="9" t="s">
        <v>135</v>
      </c>
      <c r="I20">
        <v>127</v>
      </c>
      <c r="J20">
        <v>118</v>
      </c>
      <c r="K20">
        <v>13</v>
      </c>
      <c r="L20">
        <v>12</v>
      </c>
      <c r="M20">
        <v>270</v>
      </c>
    </row>
    <row r="21" spans="1:13" x14ac:dyDescent="0.3">
      <c r="A21" s="9">
        <v>10</v>
      </c>
      <c r="B21" s="24">
        <v>1128</v>
      </c>
      <c r="C21" s="10">
        <v>64915.700000000033</v>
      </c>
      <c r="H21" s="9" t="s">
        <v>67</v>
      </c>
      <c r="I21">
        <v>179</v>
      </c>
      <c r="J21">
        <v>76</v>
      </c>
      <c r="K21">
        <v>3</v>
      </c>
      <c r="M21">
        <v>258</v>
      </c>
    </row>
    <row r="22" spans="1:13" x14ac:dyDescent="0.3">
      <c r="A22" s="9">
        <v>11</v>
      </c>
      <c r="B22" s="24">
        <v>861</v>
      </c>
      <c r="C22" s="10">
        <v>45943.80000000001</v>
      </c>
      <c r="H22" s="9" t="s">
        <v>128</v>
      </c>
      <c r="I22">
        <v>99</v>
      </c>
      <c r="J22">
        <v>69</v>
      </c>
      <c r="K22">
        <v>3</v>
      </c>
      <c r="L22">
        <v>24</v>
      </c>
      <c r="M22">
        <v>195</v>
      </c>
    </row>
    <row r="23" spans="1:13" x14ac:dyDescent="0.3">
      <c r="A23" s="9">
        <v>12</v>
      </c>
      <c r="B23" s="24">
        <v>944</v>
      </c>
      <c r="C23" s="10">
        <v>55077.900000000031</v>
      </c>
      <c r="H23" s="9" t="s">
        <v>76</v>
      </c>
      <c r="I23">
        <v>75</v>
      </c>
      <c r="J23">
        <v>103</v>
      </c>
      <c r="K23">
        <v>4</v>
      </c>
      <c r="L23">
        <v>6</v>
      </c>
      <c r="M23">
        <v>188</v>
      </c>
    </row>
    <row r="24" spans="1:13" x14ac:dyDescent="0.3">
      <c r="A24" s="9">
        <v>13</v>
      </c>
      <c r="B24" s="24">
        <v>788</v>
      </c>
      <c r="C24" s="10">
        <v>45926.19999999999</v>
      </c>
      <c r="H24" s="9" t="s">
        <v>81</v>
      </c>
      <c r="I24">
        <v>43</v>
      </c>
      <c r="J24">
        <v>90</v>
      </c>
      <c r="K24">
        <v>8</v>
      </c>
      <c r="L24">
        <v>6</v>
      </c>
      <c r="M24">
        <v>147</v>
      </c>
    </row>
    <row r="25" spans="1:13" x14ac:dyDescent="0.3">
      <c r="A25" s="9" t="s">
        <v>2534</v>
      </c>
      <c r="B25" s="24">
        <v>11997</v>
      </c>
      <c r="C25" s="10">
        <v>649019.79999999993</v>
      </c>
      <c r="H25" s="9" t="s">
        <v>171</v>
      </c>
      <c r="I25">
        <v>26</v>
      </c>
      <c r="J25">
        <v>35</v>
      </c>
      <c r="K25">
        <v>4</v>
      </c>
      <c r="M25">
        <v>65</v>
      </c>
    </row>
    <row r="26" spans="1:13" x14ac:dyDescent="0.3">
      <c r="H26" s="9" t="s">
        <v>2534</v>
      </c>
      <c r="I26">
        <v>6272</v>
      </c>
      <c r="J26">
        <v>4672</v>
      </c>
      <c r="K26">
        <v>317</v>
      </c>
      <c r="L26">
        <v>736</v>
      </c>
      <c r="M26">
        <v>11997</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AF530-976F-4CED-A394-4CAE54B30622}">
  <dimension ref="A2:T73"/>
  <sheetViews>
    <sheetView showGridLines="0" workbookViewId="0">
      <selection activeCell="G10" sqref="G10"/>
    </sheetView>
  </sheetViews>
  <sheetFormatPr defaultRowHeight="14.4" x14ac:dyDescent="0.3"/>
  <cols>
    <col min="1" max="1" width="14.44140625" bestFit="1" customWidth="1"/>
    <col min="2" max="2" width="20" bestFit="1" customWidth="1"/>
    <col min="3" max="3" width="14.88671875" bestFit="1" customWidth="1"/>
    <col min="4" max="4" width="14.44140625" bestFit="1" customWidth="1"/>
    <col min="5" max="5" width="9.21875" bestFit="1" customWidth="1"/>
    <col min="6" max="6" width="10.77734375" bestFit="1" customWidth="1"/>
    <col min="7" max="7" width="20" bestFit="1" customWidth="1"/>
    <col min="8" max="8" width="12.21875" bestFit="1" customWidth="1"/>
    <col min="10" max="10" width="7.77734375" customWidth="1"/>
    <col min="11" max="11" width="7.5546875" customWidth="1"/>
    <col min="12" max="12" width="7.109375" customWidth="1"/>
    <col min="14" max="14" width="20" bestFit="1" customWidth="1"/>
    <col min="15" max="15" width="11" bestFit="1" customWidth="1"/>
    <col min="17" max="17" width="20" bestFit="1" customWidth="1"/>
    <col min="18" max="18" width="11" bestFit="1" customWidth="1"/>
  </cols>
  <sheetData>
    <row r="2" spans="1:20" x14ac:dyDescent="0.3">
      <c r="A2" s="7" t="s">
        <v>2603</v>
      </c>
      <c r="H2" t="s">
        <v>2536</v>
      </c>
    </row>
    <row r="3" spans="1:20" ht="19.2" customHeight="1" x14ac:dyDescent="0.3">
      <c r="A3" s="8" t="s">
        <v>2520</v>
      </c>
      <c r="B3" s="8" t="s">
        <v>2535</v>
      </c>
      <c r="P3" s="23"/>
      <c r="Q3" s="23"/>
      <c r="R3" s="23"/>
      <c r="S3" s="23"/>
      <c r="T3" s="23"/>
    </row>
    <row r="4" spans="1:20" ht="20.399999999999999" customHeight="1" x14ac:dyDescent="0.3">
      <c r="A4" s="8" t="s">
        <v>2533</v>
      </c>
      <c r="B4" t="s">
        <v>2531</v>
      </c>
      <c r="C4" t="s">
        <v>2530</v>
      </c>
      <c r="D4" t="s">
        <v>2532</v>
      </c>
      <c r="E4" t="s">
        <v>2529</v>
      </c>
      <c r="F4" t="s">
        <v>2534</v>
      </c>
      <c r="H4" s="21"/>
      <c r="I4" s="21" t="s">
        <v>27</v>
      </c>
      <c r="J4" s="21" t="s">
        <v>23</v>
      </c>
      <c r="K4" s="21" t="s">
        <v>89</v>
      </c>
      <c r="L4" s="21" t="s">
        <v>2537</v>
      </c>
      <c r="O4" s="9"/>
      <c r="P4" s="11"/>
      <c r="Q4" s="11"/>
      <c r="R4" s="11"/>
      <c r="S4" s="11"/>
      <c r="T4" s="11"/>
    </row>
    <row r="5" spans="1:20" ht="20.399999999999999" customHeight="1" thickBot="1" x14ac:dyDescent="0.35">
      <c r="A5" s="9" t="s">
        <v>18</v>
      </c>
      <c r="B5" s="11">
        <v>0.18961825201634841</v>
      </c>
      <c r="C5" s="11">
        <v>0.12262322351336576</v>
      </c>
      <c r="D5" s="11">
        <v>1.060537752469185E-2</v>
      </c>
      <c r="E5" s="11">
        <v>3.0599220547662797E-2</v>
      </c>
      <c r="F5" s="11">
        <v>0.35344607360206881</v>
      </c>
      <c r="H5" s="21" t="str">
        <f>A5</f>
        <v>App</v>
      </c>
      <c r="I5" s="12">
        <f t="shared" ref="I5" si="0">B5</f>
        <v>0.18961825201634841</v>
      </c>
      <c r="J5" s="13">
        <f t="shared" ref="J5:L5" si="1">C5</f>
        <v>0.12262322351336576</v>
      </c>
      <c r="K5" s="13">
        <f t="shared" si="1"/>
        <v>1.060537752469185E-2</v>
      </c>
      <c r="L5" s="14">
        <f t="shared" si="1"/>
        <v>3.0599220547662797E-2</v>
      </c>
      <c r="O5" s="9"/>
      <c r="P5" s="11"/>
      <c r="Q5" s="11"/>
      <c r="R5" s="11"/>
      <c r="S5" s="11"/>
      <c r="T5" s="11"/>
    </row>
    <row r="6" spans="1:20" ht="20.399999999999999" customHeight="1" thickTop="1" thickBot="1" x14ac:dyDescent="0.35">
      <c r="A6" s="9" t="s">
        <v>51</v>
      </c>
      <c r="B6" s="11">
        <v>5.0283982091147303E-2</v>
      </c>
      <c r="C6" s="11">
        <v>4.3060781812819873E-2</v>
      </c>
      <c r="D6" s="11">
        <v>1.5320025675641944E-3</v>
      </c>
      <c r="E6" s="11">
        <v>1.7794988689097006E-2</v>
      </c>
      <c r="F6" s="11">
        <v>0.11267175516062837</v>
      </c>
      <c r="H6" s="21" t="str">
        <f t="shared" ref="H6:H9" si="2">A6</f>
        <v>Instagram</v>
      </c>
      <c r="I6" s="15">
        <f t="shared" ref="I6:I9" si="3">B6</f>
        <v>5.0283982091147303E-2</v>
      </c>
      <c r="J6" s="16">
        <f t="shared" ref="J6:J9" si="4">C6</f>
        <v>4.3060781812819873E-2</v>
      </c>
      <c r="K6" s="16">
        <f t="shared" ref="K6:K9" si="5">D6</f>
        <v>1.5320025675641944E-3</v>
      </c>
      <c r="L6" s="17">
        <f t="shared" ref="L6:L9" si="6">E6</f>
        <v>1.7794988689097006E-2</v>
      </c>
      <c r="O6" s="9"/>
      <c r="P6" s="11"/>
      <c r="Q6" s="11"/>
      <c r="R6" s="11"/>
      <c r="S6" s="11"/>
      <c r="T6" s="11"/>
    </row>
    <row r="7" spans="1:20" ht="20.399999999999999" customHeight="1" thickTop="1" thickBot="1" x14ac:dyDescent="0.35">
      <c r="A7" s="9" t="s">
        <v>70</v>
      </c>
      <c r="B7" s="11">
        <v>6.3496059750411282E-2</v>
      </c>
      <c r="C7" s="11">
        <v>4.6071629863988765E-2</v>
      </c>
      <c r="D7" s="11">
        <v>2.306247051322625E-3</v>
      </c>
      <c r="E7" s="11">
        <v>3.8927934093844286E-3</v>
      </c>
      <c r="F7" s="11">
        <v>0.11576673007510711</v>
      </c>
      <c r="H7" s="21" t="str">
        <f t="shared" si="2"/>
        <v>Partner App</v>
      </c>
      <c r="I7" s="15">
        <f t="shared" si="3"/>
        <v>6.3496059750411282E-2</v>
      </c>
      <c r="J7" s="16">
        <f t="shared" si="4"/>
        <v>4.6071629863988765E-2</v>
      </c>
      <c r="K7" s="16">
        <f t="shared" si="5"/>
        <v>2.306247051322625E-3</v>
      </c>
      <c r="L7" s="17">
        <f t="shared" si="6"/>
        <v>3.8927934093844286E-3</v>
      </c>
      <c r="O7" s="9"/>
      <c r="P7" s="11"/>
      <c r="Q7" s="11"/>
      <c r="R7" s="11"/>
      <c r="S7" s="11"/>
      <c r="T7" s="11"/>
    </row>
    <row r="8" spans="1:20" ht="20.399999999999999" customHeight="1" thickTop="1" thickBot="1" x14ac:dyDescent="0.35">
      <c r="A8" s="9" t="s">
        <v>40</v>
      </c>
      <c r="B8" s="11">
        <v>9.6337892927149532E-2</v>
      </c>
      <c r="C8" s="11">
        <v>6.7920115842382611E-2</v>
      </c>
      <c r="D8" s="11">
        <v>5.4979832664581261E-3</v>
      </c>
      <c r="E8" s="11">
        <v>1.2933041488102518E-2</v>
      </c>
      <c r="F8" s="11">
        <v>0.1826890335240928</v>
      </c>
      <c r="H8" s="21" t="str">
        <f t="shared" si="2"/>
        <v>Target.com</v>
      </c>
      <c r="I8" s="15">
        <f t="shared" si="3"/>
        <v>9.6337892927149532E-2</v>
      </c>
      <c r="J8" s="16">
        <f t="shared" si="4"/>
        <v>6.7920115842382611E-2</v>
      </c>
      <c r="K8" s="16">
        <f t="shared" si="5"/>
        <v>5.4979832664581261E-3</v>
      </c>
      <c r="L8" s="17">
        <f t="shared" si="6"/>
        <v>1.2933041488102518E-2</v>
      </c>
      <c r="O8" s="9"/>
      <c r="P8" s="11"/>
      <c r="Q8" s="11"/>
      <c r="R8" s="11"/>
      <c r="S8" s="11"/>
      <c r="T8" s="11"/>
    </row>
    <row r="9" spans="1:20" ht="20.399999999999999" customHeight="1" thickTop="1" x14ac:dyDescent="0.3">
      <c r="A9" s="9" t="s">
        <v>35</v>
      </c>
      <c r="B9" s="11">
        <v>0.12522098709469262</v>
      </c>
      <c r="C9" s="11">
        <v>9.1492740283116228E-2</v>
      </c>
      <c r="D9" s="11">
        <v>6.3042760790965081E-3</v>
      </c>
      <c r="E9" s="11">
        <v>1.2408404181197551E-2</v>
      </c>
      <c r="F9" s="11">
        <v>0.23542640763810288</v>
      </c>
      <c r="H9" s="21" t="str">
        <f t="shared" si="2"/>
        <v>Website</v>
      </c>
      <c r="I9" s="18">
        <f t="shared" si="3"/>
        <v>0.12522098709469262</v>
      </c>
      <c r="J9" s="19">
        <f t="shared" si="4"/>
        <v>9.1492740283116228E-2</v>
      </c>
      <c r="K9" s="19">
        <f t="shared" si="5"/>
        <v>6.3042760790965081E-3</v>
      </c>
      <c r="L9" s="20">
        <f t="shared" si="6"/>
        <v>1.2408404181197551E-2</v>
      </c>
    </row>
    <row r="10" spans="1:20" x14ac:dyDescent="0.3">
      <c r="A10" s="9" t="s">
        <v>2534</v>
      </c>
      <c r="B10" s="11">
        <v>0.52495717387974916</v>
      </c>
      <c r="C10" s="11">
        <v>0.3711684913156732</v>
      </c>
      <c r="D10" s="11">
        <v>2.6245886489133303E-2</v>
      </c>
      <c r="E10" s="11">
        <v>7.7628448315444312E-2</v>
      </c>
      <c r="F10" s="11">
        <v>1</v>
      </c>
    </row>
    <row r="12" spans="1:20" x14ac:dyDescent="0.3">
      <c r="A12" s="7" t="s">
        <v>2604</v>
      </c>
    </row>
    <row r="13" spans="1:20" x14ac:dyDescent="0.3">
      <c r="A13" s="8" t="s">
        <v>10</v>
      </c>
      <c r="B13" s="8" t="s">
        <v>11</v>
      </c>
      <c r="C13" t="s">
        <v>2519</v>
      </c>
      <c r="D13" t="s">
        <v>2520</v>
      </c>
      <c r="F13" s="7" t="s">
        <v>10</v>
      </c>
      <c r="G13" s="7" t="s">
        <v>11</v>
      </c>
      <c r="H13" s="7" t="s">
        <v>2596</v>
      </c>
      <c r="P13" s="7" t="s">
        <v>10</v>
      </c>
      <c r="Q13" s="7" t="s">
        <v>11</v>
      </c>
      <c r="R13" s="7" t="s">
        <v>2597</v>
      </c>
    </row>
    <row r="14" spans="1:20" x14ac:dyDescent="0.3">
      <c r="A14" t="s">
        <v>19</v>
      </c>
      <c r="B14" t="s">
        <v>33</v>
      </c>
      <c r="C14" s="24">
        <v>3991</v>
      </c>
      <c r="D14" s="24">
        <v>215551.19999999981</v>
      </c>
      <c r="F14" t="str">
        <f>IF(A14="","",A14)</f>
        <v>California</v>
      </c>
      <c r="G14" t="str">
        <f>IF(B14="","",B14)</f>
        <v>Los Angeles County</v>
      </c>
      <c r="H14">
        <f>IF(C14="","",C14)</f>
        <v>3991</v>
      </c>
      <c r="P14" t="str">
        <f t="shared" ref="P14:P45" si="7">IF(A14="","",A14)</f>
        <v>California</v>
      </c>
      <c r="Q14" t="str">
        <f t="shared" ref="Q14:Q45" si="8">IF(B14="","",B14)</f>
        <v>Los Angeles County</v>
      </c>
      <c r="R14">
        <f t="shared" ref="R14:R45" si="9">IF(D14="","",D14)</f>
        <v>215551.19999999981</v>
      </c>
    </row>
    <row r="15" spans="1:20" x14ac:dyDescent="0.3">
      <c r="A15" t="s">
        <v>19</v>
      </c>
      <c r="B15" t="s">
        <v>62</v>
      </c>
      <c r="C15" s="24">
        <v>1768</v>
      </c>
      <c r="D15" s="24">
        <v>98367.099999999977</v>
      </c>
      <c r="F15" t="str">
        <f t="shared" ref="F15:F62" si="10">IF(A15="","",A15)</f>
        <v>California</v>
      </c>
      <c r="G15" t="str">
        <f t="shared" ref="G15:G71" si="11">IF(B15="","",B15)</f>
        <v>San Diego County</v>
      </c>
      <c r="H15">
        <f t="shared" ref="H15:H71" si="12">IF(C15="","",C15)</f>
        <v>1768</v>
      </c>
      <c r="P15" t="str">
        <f t="shared" si="7"/>
        <v>California</v>
      </c>
      <c r="Q15" t="str">
        <f t="shared" si="8"/>
        <v>San Diego County</v>
      </c>
      <c r="R15">
        <f t="shared" si="9"/>
        <v>98367.099999999977</v>
      </c>
    </row>
    <row r="16" spans="1:20" x14ac:dyDescent="0.3">
      <c r="A16" t="s">
        <v>19</v>
      </c>
      <c r="B16" t="s">
        <v>77</v>
      </c>
      <c r="C16" s="24">
        <v>737</v>
      </c>
      <c r="D16" s="24">
        <v>37449.000000000007</v>
      </c>
      <c r="F16" t="str">
        <f t="shared" si="10"/>
        <v>California</v>
      </c>
      <c r="G16" t="str">
        <f t="shared" si="11"/>
        <v>Santa Clara County</v>
      </c>
      <c r="H16">
        <f t="shared" si="12"/>
        <v>737</v>
      </c>
      <c r="P16" t="str">
        <f t="shared" si="7"/>
        <v>California</v>
      </c>
      <c r="Q16" t="str">
        <f t="shared" si="8"/>
        <v>Santa Clara County</v>
      </c>
      <c r="R16">
        <f t="shared" si="9"/>
        <v>37449.000000000007</v>
      </c>
    </row>
    <row r="17" spans="1:18" x14ac:dyDescent="0.3">
      <c r="A17" t="s">
        <v>19</v>
      </c>
      <c r="B17" t="s">
        <v>55</v>
      </c>
      <c r="C17" s="24">
        <v>699</v>
      </c>
      <c r="D17" s="24">
        <v>37784.900000000016</v>
      </c>
      <c r="F17" t="str">
        <f t="shared" si="10"/>
        <v>California</v>
      </c>
      <c r="G17" t="str">
        <f t="shared" si="11"/>
        <v>Sacramento County</v>
      </c>
      <c r="H17">
        <f t="shared" si="12"/>
        <v>699</v>
      </c>
      <c r="P17" t="str">
        <f t="shared" si="7"/>
        <v>California</v>
      </c>
      <c r="Q17" t="str">
        <f t="shared" si="8"/>
        <v>Sacramento County</v>
      </c>
      <c r="R17">
        <f t="shared" si="9"/>
        <v>37784.900000000016</v>
      </c>
    </row>
    <row r="18" spans="1:18" x14ac:dyDescent="0.3">
      <c r="A18" t="s">
        <v>19</v>
      </c>
      <c r="B18" t="s">
        <v>115</v>
      </c>
      <c r="C18" s="24">
        <v>579</v>
      </c>
      <c r="D18" s="24">
        <v>31884.999999999996</v>
      </c>
      <c r="F18" t="str">
        <f t="shared" si="10"/>
        <v>California</v>
      </c>
      <c r="G18" t="str">
        <f t="shared" si="11"/>
        <v>Alameda County</v>
      </c>
      <c r="H18">
        <f t="shared" si="12"/>
        <v>579</v>
      </c>
      <c r="P18" t="str">
        <f t="shared" si="7"/>
        <v>California</v>
      </c>
      <c r="Q18" t="str">
        <f t="shared" si="8"/>
        <v>Alameda County</v>
      </c>
      <c r="R18">
        <f t="shared" si="9"/>
        <v>31884.999999999996</v>
      </c>
    </row>
    <row r="19" spans="1:18" x14ac:dyDescent="0.3">
      <c r="A19" t="s">
        <v>19</v>
      </c>
      <c r="B19" t="s">
        <v>72</v>
      </c>
      <c r="C19" s="24">
        <v>364</v>
      </c>
      <c r="D19" s="24">
        <v>16172.000000000005</v>
      </c>
      <c r="F19" t="str">
        <f t="shared" si="10"/>
        <v>California</v>
      </c>
      <c r="G19" t="str">
        <f t="shared" si="11"/>
        <v>San Mateo County</v>
      </c>
      <c r="H19">
        <f t="shared" si="12"/>
        <v>364</v>
      </c>
      <c r="P19" t="str">
        <f t="shared" si="7"/>
        <v>California</v>
      </c>
      <c r="Q19" t="str">
        <f t="shared" si="8"/>
        <v>San Mateo County</v>
      </c>
      <c r="R19">
        <f t="shared" si="9"/>
        <v>16172.000000000005</v>
      </c>
    </row>
    <row r="20" spans="1:18" x14ac:dyDescent="0.3">
      <c r="A20" t="s">
        <v>19</v>
      </c>
      <c r="B20" t="s">
        <v>59</v>
      </c>
      <c r="C20" s="24">
        <v>356</v>
      </c>
      <c r="D20" s="24">
        <v>20988.9</v>
      </c>
      <c r="F20" t="str">
        <f t="shared" si="10"/>
        <v>California</v>
      </c>
      <c r="G20" t="str">
        <f t="shared" si="11"/>
        <v>San Bernardino County</v>
      </c>
      <c r="H20">
        <f t="shared" si="12"/>
        <v>356</v>
      </c>
      <c r="P20" t="str">
        <f t="shared" si="7"/>
        <v>California</v>
      </c>
      <c r="Q20" t="str">
        <f t="shared" si="8"/>
        <v>San Bernardino County</v>
      </c>
      <c r="R20">
        <f t="shared" si="9"/>
        <v>20988.9</v>
      </c>
    </row>
    <row r="21" spans="1:18" x14ac:dyDescent="0.3">
      <c r="A21" t="s">
        <v>19</v>
      </c>
      <c r="B21" t="s">
        <v>24</v>
      </c>
      <c r="C21" s="24">
        <v>341</v>
      </c>
      <c r="D21" s="24">
        <v>16168.7</v>
      </c>
      <c r="F21" t="str">
        <f t="shared" si="10"/>
        <v>California</v>
      </c>
      <c r="G21" t="str">
        <f t="shared" si="11"/>
        <v>Contra Costa County</v>
      </c>
      <c r="H21">
        <f t="shared" si="12"/>
        <v>341</v>
      </c>
      <c r="P21" t="str">
        <f t="shared" si="7"/>
        <v>California</v>
      </c>
      <c r="Q21" t="str">
        <f t="shared" si="8"/>
        <v>Contra Costa County</v>
      </c>
      <c r="R21">
        <f t="shared" si="9"/>
        <v>16168.7</v>
      </c>
    </row>
    <row r="22" spans="1:18" x14ac:dyDescent="0.3">
      <c r="A22" t="s">
        <v>19</v>
      </c>
      <c r="B22" t="s">
        <v>103</v>
      </c>
      <c r="C22" s="24">
        <v>307</v>
      </c>
      <c r="D22" s="24">
        <v>21911.9</v>
      </c>
      <c r="F22" t="str">
        <f t="shared" si="10"/>
        <v>California</v>
      </c>
      <c r="G22" t="str">
        <f t="shared" si="11"/>
        <v>San Francisco</v>
      </c>
      <c r="H22">
        <f t="shared" si="12"/>
        <v>307</v>
      </c>
      <c r="P22" t="str">
        <f t="shared" si="7"/>
        <v>California</v>
      </c>
      <c r="Q22" t="str">
        <f t="shared" si="8"/>
        <v>San Francisco</v>
      </c>
      <c r="R22">
        <f t="shared" si="9"/>
        <v>21911.9</v>
      </c>
    </row>
    <row r="23" spans="1:18" x14ac:dyDescent="0.3">
      <c r="A23" t="s">
        <v>19</v>
      </c>
      <c r="B23" t="s">
        <v>108</v>
      </c>
      <c r="C23" s="24">
        <v>295</v>
      </c>
      <c r="D23" s="24">
        <v>20939.600000000002</v>
      </c>
      <c r="F23" t="str">
        <f t="shared" si="10"/>
        <v>California</v>
      </c>
      <c r="G23" t="str">
        <f t="shared" si="11"/>
        <v>Sonoma County</v>
      </c>
      <c r="H23">
        <f t="shared" si="12"/>
        <v>295</v>
      </c>
      <c r="P23" t="str">
        <f t="shared" si="7"/>
        <v>California</v>
      </c>
      <c r="Q23" t="str">
        <f t="shared" si="8"/>
        <v>Sonoma County</v>
      </c>
      <c r="R23">
        <f t="shared" si="9"/>
        <v>20939.600000000002</v>
      </c>
    </row>
    <row r="24" spans="1:18" x14ac:dyDescent="0.3">
      <c r="A24" t="s">
        <v>19</v>
      </c>
      <c r="B24" t="s">
        <v>28</v>
      </c>
      <c r="C24" s="24">
        <v>279</v>
      </c>
      <c r="D24" s="24">
        <v>12662.500000000002</v>
      </c>
      <c r="F24" t="str">
        <f t="shared" si="10"/>
        <v>California</v>
      </c>
      <c r="G24" t="str">
        <f t="shared" si="11"/>
        <v>Fresno County</v>
      </c>
      <c r="H24">
        <f t="shared" si="12"/>
        <v>279</v>
      </c>
      <c r="P24" t="str">
        <f t="shared" si="7"/>
        <v>California</v>
      </c>
      <c r="Q24" t="str">
        <f t="shared" si="8"/>
        <v>Fresno County</v>
      </c>
      <c r="R24">
        <f t="shared" si="9"/>
        <v>12662.500000000002</v>
      </c>
    </row>
    <row r="25" spans="1:18" x14ac:dyDescent="0.3">
      <c r="A25" t="s">
        <v>19</v>
      </c>
      <c r="B25" t="s">
        <v>147</v>
      </c>
      <c r="C25" s="24">
        <v>222</v>
      </c>
      <c r="D25" s="24">
        <v>11354.199999999993</v>
      </c>
      <c r="F25" t="str">
        <f t="shared" si="10"/>
        <v>California</v>
      </c>
      <c r="G25" t="str">
        <f t="shared" si="11"/>
        <v>Kern County</v>
      </c>
      <c r="H25">
        <f t="shared" si="12"/>
        <v>222</v>
      </c>
      <c r="P25" t="str">
        <f t="shared" si="7"/>
        <v>California</v>
      </c>
      <c r="Q25" t="str">
        <f t="shared" si="8"/>
        <v>Kern County</v>
      </c>
      <c r="R25">
        <f t="shared" si="9"/>
        <v>11354.199999999993</v>
      </c>
    </row>
    <row r="26" spans="1:18" x14ac:dyDescent="0.3">
      <c r="A26" t="s">
        <v>19</v>
      </c>
      <c r="B26" t="s">
        <v>110</v>
      </c>
      <c r="C26" s="24">
        <v>195</v>
      </c>
      <c r="D26" s="24">
        <v>10185.899999999996</v>
      </c>
      <c r="F26" t="str">
        <f t="shared" si="10"/>
        <v>California</v>
      </c>
      <c r="G26" t="str">
        <f t="shared" si="11"/>
        <v>Stanislaus County</v>
      </c>
      <c r="H26">
        <f t="shared" si="12"/>
        <v>195</v>
      </c>
      <c r="P26" t="str">
        <f t="shared" si="7"/>
        <v>California</v>
      </c>
      <c r="Q26" t="str">
        <f t="shared" si="8"/>
        <v>Stanislaus County</v>
      </c>
      <c r="R26">
        <f t="shared" si="9"/>
        <v>10185.899999999996</v>
      </c>
    </row>
    <row r="27" spans="1:18" x14ac:dyDescent="0.3">
      <c r="A27" t="s">
        <v>19</v>
      </c>
      <c r="B27" t="s">
        <v>82</v>
      </c>
      <c r="C27" s="24">
        <v>179</v>
      </c>
      <c r="D27" s="24">
        <v>9869.0999999999985</v>
      </c>
      <c r="F27" t="str">
        <f t="shared" si="10"/>
        <v>California</v>
      </c>
      <c r="G27" t="str">
        <f t="shared" si="11"/>
        <v>Ventura County</v>
      </c>
      <c r="H27">
        <f t="shared" si="12"/>
        <v>179</v>
      </c>
      <c r="P27" t="str">
        <f t="shared" si="7"/>
        <v>California</v>
      </c>
      <c r="Q27" t="str">
        <f t="shared" si="8"/>
        <v>Ventura County</v>
      </c>
      <c r="R27">
        <f t="shared" si="9"/>
        <v>9869.0999999999985</v>
      </c>
    </row>
    <row r="28" spans="1:18" x14ac:dyDescent="0.3">
      <c r="A28" t="s">
        <v>19</v>
      </c>
      <c r="B28" t="s">
        <v>158</v>
      </c>
      <c r="C28" s="24">
        <v>178</v>
      </c>
      <c r="D28" s="24">
        <v>7691.3</v>
      </c>
      <c r="F28" t="str">
        <f t="shared" si="10"/>
        <v>California</v>
      </c>
      <c r="G28" t="str">
        <f t="shared" si="11"/>
        <v>Riverside County</v>
      </c>
      <c r="H28">
        <f t="shared" si="12"/>
        <v>178</v>
      </c>
      <c r="P28" t="str">
        <f t="shared" si="7"/>
        <v>California</v>
      </c>
      <c r="Q28" t="str">
        <f t="shared" si="8"/>
        <v>Riverside County</v>
      </c>
      <c r="R28">
        <f t="shared" si="9"/>
        <v>7691.3</v>
      </c>
    </row>
    <row r="29" spans="1:18" x14ac:dyDescent="0.3">
      <c r="A29" t="s">
        <v>19</v>
      </c>
      <c r="B29" t="s">
        <v>188</v>
      </c>
      <c r="C29" s="24">
        <v>178</v>
      </c>
      <c r="D29" s="24">
        <v>9680.399999999996</v>
      </c>
      <c r="F29" t="str">
        <f t="shared" si="10"/>
        <v>California</v>
      </c>
      <c r="G29" t="str">
        <f t="shared" si="11"/>
        <v>Orange County</v>
      </c>
      <c r="H29">
        <f t="shared" si="12"/>
        <v>178</v>
      </c>
      <c r="P29" t="str">
        <f t="shared" si="7"/>
        <v>California</v>
      </c>
      <c r="Q29" t="str">
        <f t="shared" si="8"/>
        <v>Orange County</v>
      </c>
      <c r="R29">
        <f t="shared" si="9"/>
        <v>9680.399999999996</v>
      </c>
    </row>
    <row r="30" spans="1:18" x14ac:dyDescent="0.3">
      <c r="A30" t="s">
        <v>19</v>
      </c>
      <c r="B30" t="s">
        <v>52</v>
      </c>
      <c r="C30" s="24">
        <v>141</v>
      </c>
      <c r="D30" s="24">
        <v>9414.7999999999993</v>
      </c>
      <c r="F30" t="str">
        <f t="shared" si="10"/>
        <v>California</v>
      </c>
      <c r="G30" t="str">
        <f t="shared" si="11"/>
        <v>Placer County</v>
      </c>
      <c r="H30">
        <f t="shared" si="12"/>
        <v>141</v>
      </c>
      <c r="P30" t="str">
        <f t="shared" si="7"/>
        <v>California</v>
      </c>
      <c r="Q30" t="str">
        <f t="shared" si="8"/>
        <v>Placer County</v>
      </c>
      <c r="R30">
        <f t="shared" si="9"/>
        <v>9414.7999999999993</v>
      </c>
    </row>
    <row r="31" spans="1:18" x14ac:dyDescent="0.3">
      <c r="A31" t="s">
        <v>19</v>
      </c>
      <c r="B31" t="s">
        <v>201</v>
      </c>
      <c r="C31" s="24">
        <v>117</v>
      </c>
      <c r="D31" s="24">
        <v>5441.2</v>
      </c>
      <c r="F31" t="str">
        <f t="shared" si="10"/>
        <v>California</v>
      </c>
      <c r="G31" t="str">
        <f t="shared" si="11"/>
        <v>San Joaquin County</v>
      </c>
      <c r="H31">
        <f t="shared" si="12"/>
        <v>117</v>
      </c>
      <c r="P31" t="str">
        <f t="shared" si="7"/>
        <v>California</v>
      </c>
      <c r="Q31" t="str">
        <f t="shared" si="8"/>
        <v>San Joaquin County</v>
      </c>
      <c r="R31">
        <f t="shared" si="9"/>
        <v>5441.2</v>
      </c>
    </row>
    <row r="32" spans="1:18" x14ac:dyDescent="0.3">
      <c r="A32" t="s">
        <v>19</v>
      </c>
      <c r="B32" t="s">
        <v>74</v>
      </c>
      <c r="C32" s="24">
        <v>95</v>
      </c>
      <c r="D32" s="24">
        <v>4334.9999999999991</v>
      </c>
      <c r="F32" t="str">
        <f t="shared" si="10"/>
        <v>California</v>
      </c>
      <c r="G32" t="str">
        <f t="shared" si="11"/>
        <v>Santa Barbara County</v>
      </c>
      <c r="H32">
        <f t="shared" si="12"/>
        <v>95</v>
      </c>
      <c r="P32" t="str">
        <f t="shared" si="7"/>
        <v>California</v>
      </c>
      <c r="Q32" t="str">
        <f t="shared" si="8"/>
        <v>Santa Barbara County</v>
      </c>
      <c r="R32">
        <f t="shared" si="9"/>
        <v>4334.9999999999991</v>
      </c>
    </row>
    <row r="33" spans="1:18" x14ac:dyDescent="0.3">
      <c r="A33" t="s">
        <v>19</v>
      </c>
      <c r="B33" t="s">
        <v>113</v>
      </c>
      <c r="C33" s="24">
        <v>94</v>
      </c>
      <c r="D33" s="24">
        <v>3978.5</v>
      </c>
      <c r="F33" t="str">
        <f t="shared" si="10"/>
        <v>California</v>
      </c>
      <c r="G33" t="str">
        <f t="shared" si="11"/>
        <v>Tulare County</v>
      </c>
      <c r="H33">
        <f t="shared" si="12"/>
        <v>94</v>
      </c>
      <c r="P33" t="str">
        <f t="shared" si="7"/>
        <v>California</v>
      </c>
      <c r="Q33" t="str">
        <f t="shared" si="8"/>
        <v>Tulare County</v>
      </c>
      <c r="R33">
        <f t="shared" si="9"/>
        <v>3978.5</v>
      </c>
    </row>
    <row r="34" spans="1:18" x14ac:dyDescent="0.3">
      <c r="A34" t="s">
        <v>19</v>
      </c>
      <c r="B34" t="s">
        <v>98</v>
      </c>
      <c r="C34" s="24">
        <v>88</v>
      </c>
      <c r="D34" s="24">
        <v>6444.9</v>
      </c>
      <c r="F34" t="str">
        <f t="shared" si="10"/>
        <v>California</v>
      </c>
      <c r="G34" t="str">
        <f t="shared" si="11"/>
        <v>Napa County</v>
      </c>
      <c r="H34">
        <f t="shared" si="12"/>
        <v>88</v>
      </c>
      <c r="P34" t="str">
        <f t="shared" si="7"/>
        <v>California</v>
      </c>
      <c r="Q34" t="str">
        <f t="shared" si="8"/>
        <v>Napa County</v>
      </c>
      <c r="R34">
        <f t="shared" si="9"/>
        <v>6444.9</v>
      </c>
    </row>
    <row r="35" spans="1:18" x14ac:dyDescent="0.3">
      <c r="A35" t="s">
        <v>19</v>
      </c>
      <c r="B35" t="s">
        <v>186</v>
      </c>
      <c r="C35" s="24">
        <v>60</v>
      </c>
      <c r="D35" s="24">
        <v>2690.4</v>
      </c>
      <c r="F35" t="str">
        <f t="shared" si="10"/>
        <v>California</v>
      </c>
      <c r="G35" t="str">
        <f t="shared" si="11"/>
        <v>Merced County</v>
      </c>
      <c r="H35">
        <f t="shared" si="12"/>
        <v>60</v>
      </c>
      <c r="P35" t="str">
        <f t="shared" si="7"/>
        <v>California</v>
      </c>
      <c r="Q35" t="str">
        <f t="shared" si="8"/>
        <v>Merced County</v>
      </c>
      <c r="R35">
        <f t="shared" si="9"/>
        <v>2690.4</v>
      </c>
    </row>
    <row r="36" spans="1:18" x14ac:dyDescent="0.3">
      <c r="A36" t="s">
        <v>19</v>
      </c>
      <c r="B36" t="s">
        <v>331</v>
      </c>
      <c r="C36" s="24">
        <v>59</v>
      </c>
      <c r="D36" s="24">
        <v>2661.5999999999995</v>
      </c>
      <c r="F36" t="str">
        <f t="shared" si="10"/>
        <v>California</v>
      </c>
      <c r="G36" t="str">
        <f t="shared" si="11"/>
        <v>Imperial County</v>
      </c>
      <c r="H36">
        <f t="shared" si="12"/>
        <v>59</v>
      </c>
      <c r="P36" t="str">
        <f t="shared" si="7"/>
        <v>California</v>
      </c>
      <c r="Q36" t="str">
        <f t="shared" si="8"/>
        <v>Imperial County</v>
      </c>
      <c r="R36">
        <f t="shared" si="9"/>
        <v>2661.5999999999995</v>
      </c>
    </row>
    <row r="37" spans="1:18" x14ac:dyDescent="0.3">
      <c r="A37" t="s">
        <v>19</v>
      </c>
      <c r="B37" t="s">
        <v>1116</v>
      </c>
      <c r="C37" s="24">
        <v>56</v>
      </c>
      <c r="D37" s="24">
        <v>3391.1</v>
      </c>
      <c r="F37" t="str">
        <f t="shared" si="10"/>
        <v>California</v>
      </c>
      <c r="G37" t="str">
        <f t="shared" si="11"/>
        <v>Shasta County</v>
      </c>
      <c r="H37">
        <f t="shared" si="12"/>
        <v>56</v>
      </c>
      <c r="P37" t="str">
        <f t="shared" si="7"/>
        <v>California</v>
      </c>
      <c r="Q37" t="str">
        <f t="shared" si="8"/>
        <v>Shasta County</v>
      </c>
      <c r="R37">
        <f t="shared" si="9"/>
        <v>3391.1</v>
      </c>
    </row>
    <row r="38" spans="1:18" x14ac:dyDescent="0.3">
      <c r="A38" t="s">
        <v>19</v>
      </c>
      <c r="B38" t="s">
        <v>377</v>
      </c>
      <c r="C38" s="24">
        <v>52</v>
      </c>
      <c r="D38" s="24">
        <v>3175.9999999999995</v>
      </c>
      <c r="F38" t="str">
        <f t="shared" si="10"/>
        <v>California</v>
      </c>
      <c r="G38" t="str">
        <f t="shared" si="11"/>
        <v>Solano County</v>
      </c>
      <c r="H38">
        <f t="shared" si="12"/>
        <v>52</v>
      </c>
      <c r="P38" t="str">
        <f t="shared" si="7"/>
        <v>California</v>
      </c>
      <c r="Q38" t="str">
        <f t="shared" si="8"/>
        <v>Solano County</v>
      </c>
      <c r="R38">
        <f t="shared" si="9"/>
        <v>3175.9999999999995</v>
      </c>
    </row>
    <row r="39" spans="1:18" x14ac:dyDescent="0.3">
      <c r="A39" t="s">
        <v>19</v>
      </c>
      <c r="B39" t="s">
        <v>587</v>
      </c>
      <c r="C39" s="24">
        <v>49</v>
      </c>
      <c r="D39" s="24">
        <v>2188.2999999999997</v>
      </c>
      <c r="F39" t="str">
        <f t="shared" si="10"/>
        <v>California</v>
      </c>
      <c r="G39" t="str">
        <f t="shared" si="11"/>
        <v>Humboldt County</v>
      </c>
      <c r="H39">
        <f t="shared" si="12"/>
        <v>49</v>
      </c>
      <c r="P39" t="str">
        <f t="shared" si="7"/>
        <v>California</v>
      </c>
      <c r="Q39" t="str">
        <f t="shared" si="8"/>
        <v>Humboldt County</v>
      </c>
      <c r="R39">
        <f t="shared" si="9"/>
        <v>2188.2999999999997</v>
      </c>
    </row>
    <row r="40" spans="1:18" x14ac:dyDescent="0.3">
      <c r="A40" t="s">
        <v>19</v>
      </c>
      <c r="B40" t="s">
        <v>364</v>
      </c>
      <c r="C40" s="24">
        <v>45</v>
      </c>
      <c r="D40" s="24">
        <v>2687.3999999999996</v>
      </c>
      <c r="F40" t="str">
        <f t="shared" si="10"/>
        <v>California</v>
      </c>
      <c r="G40" t="str">
        <f t="shared" si="11"/>
        <v>Madera County</v>
      </c>
      <c r="H40">
        <f t="shared" si="12"/>
        <v>45</v>
      </c>
      <c r="P40" t="str">
        <f t="shared" si="7"/>
        <v>California</v>
      </c>
      <c r="Q40" t="str">
        <f t="shared" si="8"/>
        <v>Madera County</v>
      </c>
      <c r="R40">
        <f t="shared" si="9"/>
        <v>2687.3999999999996</v>
      </c>
    </row>
    <row r="41" spans="1:18" x14ac:dyDescent="0.3">
      <c r="A41" t="s">
        <v>19</v>
      </c>
      <c r="B41" t="s">
        <v>309</v>
      </c>
      <c r="C41" s="24">
        <v>39</v>
      </c>
      <c r="D41" s="24">
        <v>2447.5</v>
      </c>
      <c r="F41" t="str">
        <f t="shared" si="10"/>
        <v>California</v>
      </c>
      <c r="G41" t="str">
        <f t="shared" si="11"/>
        <v>Santa Cruz County</v>
      </c>
      <c r="H41">
        <f t="shared" si="12"/>
        <v>39</v>
      </c>
      <c r="P41" t="str">
        <f t="shared" si="7"/>
        <v>California</v>
      </c>
      <c r="Q41" t="str">
        <f t="shared" si="8"/>
        <v>Santa Cruz County</v>
      </c>
      <c r="R41">
        <f t="shared" si="9"/>
        <v>2447.5</v>
      </c>
    </row>
    <row r="42" spans="1:18" x14ac:dyDescent="0.3">
      <c r="A42" t="s">
        <v>19</v>
      </c>
      <c r="B42" t="s">
        <v>545</v>
      </c>
      <c r="C42" s="24">
        <v>39</v>
      </c>
      <c r="D42" s="24">
        <v>1463.3000000000002</v>
      </c>
      <c r="F42" t="str">
        <f t="shared" si="10"/>
        <v>California</v>
      </c>
      <c r="G42" t="str">
        <f t="shared" si="11"/>
        <v>Marin County</v>
      </c>
      <c r="H42">
        <f t="shared" si="12"/>
        <v>39</v>
      </c>
      <c r="P42" t="str">
        <f t="shared" si="7"/>
        <v>California</v>
      </c>
      <c r="Q42" t="str">
        <f t="shared" si="8"/>
        <v>Marin County</v>
      </c>
      <c r="R42">
        <f t="shared" si="9"/>
        <v>1463.3000000000002</v>
      </c>
    </row>
    <row r="43" spans="1:18" x14ac:dyDescent="0.3">
      <c r="A43" t="s">
        <v>19</v>
      </c>
      <c r="B43" t="s">
        <v>334</v>
      </c>
      <c r="C43" s="24">
        <v>36</v>
      </c>
      <c r="D43" s="24">
        <v>1558.4</v>
      </c>
      <c r="F43" t="str">
        <f t="shared" si="10"/>
        <v>California</v>
      </c>
      <c r="G43" t="str">
        <f t="shared" si="11"/>
        <v>Kings County</v>
      </c>
      <c r="H43">
        <f t="shared" si="12"/>
        <v>36</v>
      </c>
      <c r="P43" t="str">
        <f t="shared" si="7"/>
        <v>California</v>
      </c>
      <c r="Q43" t="str">
        <f t="shared" si="8"/>
        <v>Kings County</v>
      </c>
      <c r="R43">
        <f t="shared" si="9"/>
        <v>1558.4</v>
      </c>
    </row>
    <row r="44" spans="1:18" x14ac:dyDescent="0.3">
      <c r="A44" t="s">
        <v>19</v>
      </c>
      <c r="B44" t="s">
        <v>967</v>
      </c>
      <c r="C44" s="24">
        <v>35</v>
      </c>
      <c r="D44" s="24">
        <v>1062.5999999999999</v>
      </c>
      <c r="F44" t="str">
        <f t="shared" si="10"/>
        <v>California</v>
      </c>
      <c r="G44" t="str">
        <f t="shared" si="11"/>
        <v>Butte County</v>
      </c>
      <c r="H44">
        <f t="shared" si="12"/>
        <v>35</v>
      </c>
      <c r="P44" t="str">
        <f t="shared" si="7"/>
        <v>California</v>
      </c>
      <c r="Q44" t="str">
        <f t="shared" si="8"/>
        <v>Butte County</v>
      </c>
      <c r="R44">
        <f t="shared" si="9"/>
        <v>1062.5999999999999</v>
      </c>
    </row>
    <row r="45" spans="1:18" x14ac:dyDescent="0.3">
      <c r="A45" t="s">
        <v>19</v>
      </c>
      <c r="B45" t="s">
        <v>437</v>
      </c>
      <c r="C45" s="24">
        <v>31</v>
      </c>
      <c r="D45" s="24">
        <v>2092.8000000000002</v>
      </c>
      <c r="F45" t="str">
        <f t="shared" si="10"/>
        <v>California</v>
      </c>
      <c r="G45" t="str">
        <f t="shared" si="11"/>
        <v>El Dorado County</v>
      </c>
      <c r="H45">
        <f t="shared" si="12"/>
        <v>31</v>
      </c>
      <c r="P45" t="str">
        <f t="shared" si="7"/>
        <v>California</v>
      </c>
      <c r="Q45" t="str">
        <f t="shared" si="8"/>
        <v>El Dorado County</v>
      </c>
      <c r="R45">
        <f t="shared" si="9"/>
        <v>2092.8000000000002</v>
      </c>
    </row>
    <row r="46" spans="1:18" x14ac:dyDescent="0.3">
      <c r="A46" t="s">
        <v>19</v>
      </c>
      <c r="B46" t="s">
        <v>802</v>
      </c>
      <c r="C46" s="24">
        <v>31</v>
      </c>
      <c r="D46" s="24">
        <v>1607.8999999999999</v>
      </c>
      <c r="F46" t="str">
        <f t="shared" si="10"/>
        <v>California</v>
      </c>
      <c r="G46" t="str">
        <f t="shared" si="11"/>
        <v>Monterey County</v>
      </c>
      <c r="H46">
        <f t="shared" si="12"/>
        <v>31</v>
      </c>
      <c r="P46" t="str">
        <f t="shared" ref="P46:P71" si="13">IF(A46="","",A46)</f>
        <v>California</v>
      </c>
      <c r="Q46" t="str">
        <f t="shared" ref="Q46:Q71" si="14">IF(B46="","",B46)</f>
        <v>Monterey County</v>
      </c>
      <c r="R46">
        <f t="shared" ref="R46:R71" si="15">IF(D46="","",D46)</f>
        <v>1607.8999999999999</v>
      </c>
    </row>
    <row r="47" spans="1:18" x14ac:dyDescent="0.3">
      <c r="A47" t="s">
        <v>19</v>
      </c>
      <c r="B47" t="s">
        <v>949</v>
      </c>
      <c r="C47" s="24">
        <v>30</v>
      </c>
      <c r="D47" s="24">
        <v>2223.9</v>
      </c>
      <c r="F47" t="str">
        <f t="shared" si="10"/>
        <v>California</v>
      </c>
      <c r="G47" t="str">
        <f t="shared" si="11"/>
        <v>Lake County</v>
      </c>
      <c r="H47">
        <f t="shared" si="12"/>
        <v>30</v>
      </c>
      <c r="P47" t="str">
        <f t="shared" si="13"/>
        <v>California</v>
      </c>
      <c r="Q47" t="str">
        <f t="shared" si="14"/>
        <v>Lake County</v>
      </c>
      <c r="R47">
        <f t="shared" si="15"/>
        <v>2223.9</v>
      </c>
    </row>
    <row r="48" spans="1:18" x14ac:dyDescent="0.3">
      <c r="A48" t="s">
        <v>19</v>
      </c>
      <c r="B48" t="s">
        <v>997</v>
      </c>
      <c r="C48" s="24">
        <v>28</v>
      </c>
      <c r="D48" s="24">
        <v>1405</v>
      </c>
      <c r="F48" t="str">
        <f t="shared" si="10"/>
        <v>California</v>
      </c>
      <c r="G48" t="str">
        <f t="shared" si="11"/>
        <v>Tuolumne County</v>
      </c>
      <c r="H48">
        <f t="shared" si="12"/>
        <v>28</v>
      </c>
      <c r="P48" t="str">
        <f t="shared" si="13"/>
        <v>California</v>
      </c>
      <c r="Q48" t="str">
        <f t="shared" si="14"/>
        <v>Tuolumne County</v>
      </c>
      <c r="R48">
        <f t="shared" si="15"/>
        <v>1405</v>
      </c>
    </row>
    <row r="49" spans="1:18" x14ac:dyDescent="0.3">
      <c r="A49" t="s">
        <v>19</v>
      </c>
      <c r="B49" t="s">
        <v>49</v>
      </c>
      <c r="C49" s="24">
        <v>25</v>
      </c>
      <c r="D49" s="24">
        <v>1809.3</v>
      </c>
      <c r="F49" t="str">
        <f t="shared" si="10"/>
        <v>California</v>
      </c>
      <c r="G49" t="str">
        <f t="shared" si="11"/>
        <v>Nevada County</v>
      </c>
      <c r="H49">
        <f t="shared" si="12"/>
        <v>25</v>
      </c>
      <c r="P49" t="str">
        <f t="shared" si="13"/>
        <v>California</v>
      </c>
      <c r="Q49" t="str">
        <f t="shared" si="14"/>
        <v>Nevada County</v>
      </c>
      <c r="R49">
        <f t="shared" si="15"/>
        <v>1809.3</v>
      </c>
    </row>
    <row r="50" spans="1:18" x14ac:dyDescent="0.3">
      <c r="A50" t="s">
        <v>19</v>
      </c>
      <c r="B50" t="s">
        <v>342</v>
      </c>
      <c r="C50" s="24">
        <v>23</v>
      </c>
      <c r="D50" s="24">
        <v>1129.7</v>
      </c>
      <c r="F50" t="str">
        <f t="shared" si="10"/>
        <v>California</v>
      </c>
      <c r="G50" t="str">
        <f t="shared" si="11"/>
        <v>San Benito County</v>
      </c>
      <c r="H50">
        <f t="shared" si="12"/>
        <v>23</v>
      </c>
      <c r="P50" t="str">
        <f t="shared" si="13"/>
        <v>California</v>
      </c>
      <c r="Q50" t="str">
        <f t="shared" si="14"/>
        <v>San Benito County</v>
      </c>
      <c r="R50">
        <f t="shared" si="15"/>
        <v>1129.7</v>
      </c>
    </row>
    <row r="51" spans="1:18" x14ac:dyDescent="0.3">
      <c r="A51" t="s">
        <v>19</v>
      </c>
      <c r="B51" t="s">
        <v>292</v>
      </c>
      <c r="C51" s="24">
        <v>20</v>
      </c>
      <c r="D51" s="24">
        <v>958.7</v>
      </c>
      <c r="F51" t="str">
        <f t="shared" si="10"/>
        <v>California</v>
      </c>
      <c r="G51" t="str">
        <f t="shared" si="11"/>
        <v>Sutter County</v>
      </c>
      <c r="H51">
        <f t="shared" si="12"/>
        <v>20</v>
      </c>
      <c r="P51" t="str">
        <f t="shared" si="13"/>
        <v>California</v>
      </c>
      <c r="Q51" t="str">
        <f t="shared" si="14"/>
        <v>Sutter County</v>
      </c>
      <c r="R51">
        <f t="shared" si="15"/>
        <v>958.7</v>
      </c>
    </row>
    <row r="52" spans="1:18" x14ac:dyDescent="0.3">
      <c r="A52" t="s">
        <v>19</v>
      </c>
      <c r="B52" t="s">
        <v>243</v>
      </c>
      <c r="C52" s="24">
        <v>15</v>
      </c>
      <c r="D52" s="24">
        <v>615.29999999999995</v>
      </c>
      <c r="F52" t="str">
        <f t="shared" si="10"/>
        <v>California</v>
      </c>
      <c r="G52" t="str">
        <f t="shared" si="11"/>
        <v>Yolo County</v>
      </c>
      <c r="H52">
        <f t="shared" si="12"/>
        <v>15</v>
      </c>
      <c r="P52" t="str">
        <f t="shared" si="13"/>
        <v>California</v>
      </c>
      <c r="Q52" t="str">
        <f t="shared" si="14"/>
        <v>Yolo County</v>
      </c>
      <c r="R52">
        <f t="shared" si="15"/>
        <v>615.29999999999995</v>
      </c>
    </row>
    <row r="53" spans="1:18" x14ac:dyDescent="0.3">
      <c r="A53" t="s">
        <v>19</v>
      </c>
      <c r="B53" t="s">
        <v>429</v>
      </c>
      <c r="C53" s="24">
        <v>13</v>
      </c>
      <c r="D53" s="24">
        <v>392.8</v>
      </c>
      <c r="F53" t="str">
        <f t="shared" si="10"/>
        <v>California</v>
      </c>
      <c r="G53" t="str">
        <f t="shared" si="11"/>
        <v>San Luis Obispo County</v>
      </c>
      <c r="H53">
        <f t="shared" si="12"/>
        <v>13</v>
      </c>
      <c r="P53" t="str">
        <f t="shared" si="13"/>
        <v>California</v>
      </c>
      <c r="Q53" t="str">
        <f t="shared" si="14"/>
        <v>San Luis Obispo County</v>
      </c>
      <c r="R53">
        <f t="shared" si="15"/>
        <v>392.8</v>
      </c>
    </row>
    <row r="54" spans="1:18" x14ac:dyDescent="0.3">
      <c r="A54" t="s">
        <v>19</v>
      </c>
      <c r="B54" t="s">
        <v>2204</v>
      </c>
      <c r="C54" s="24">
        <v>13</v>
      </c>
      <c r="D54" s="24">
        <v>322.40000000000003</v>
      </c>
      <c r="F54" t="str">
        <f t="shared" si="10"/>
        <v>California</v>
      </c>
      <c r="G54" t="str">
        <f t="shared" si="11"/>
        <v>Del Norte County</v>
      </c>
      <c r="H54">
        <f t="shared" si="12"/>
        <v>13</v>
      </c>
      <c r="P54" t="str">
        <f t="shared" si="13"/>
        <v>California</v>
      </c>
      <c r="Q54" t="str">
        <f t="shared" si="14"/>
        <v>Del Norte County</v>
      </c>
      <c r="R54">
        <f t="shared" si="15"/>
        <v>322.40000000000003</v>
      </c>
    </row>
    <row r="55" spans="1:18" x14ac:dyDescent="0.3">
      <c r="A55" t="s">
        <v>19</v>
      </c>
      <c r="B55" t="s">
        <v>84</v>
      </c>
      <c r="C55" s="24">
        <v>12</v>
      </c>
      <c r="D55" s="24">
        <v>326.20000000000005</v>
      </c>
      <c r="F55" t="str">
        <f t="shared" si="10"/>
        <v>California</v>
      </c>
      <c r="G55" t="str">
        <f t="shared" si="11"/>
        <v>Calaveras County</v>
      </c>
      <c r="H55">
        <f t="shared" si="12"/>
        <v>12</v>
      </c>
      <c r="P55" t="str">
        <f t="shared" si="13"/>
        <v>California</v>
      </c>
      <c r="Q55" t="str">
        <f t="shared" si="14"/>
        <v>Calaveras County</v>
      </c>
      <c r="R55">
        <f t="shared" si="15"/>
        <v>326.20000000000005</v>
      </c>
    </row>
    <row r="56" spans="1:18" x14ac:dyDescent="0.3">
      <c r="A56" t="s">
        <v>19</v>
      </c>
      <c r="B56" t="s">
        <v>258</v>
      </c>
      <c r="C56" s="24">
        <v>9</v>
      </c>
      <c r="D56" s="24">
        <v>273.59999999999997</v>
      </c>
      <c r="F56" t="str">
        <f t="shared" si="10"/>
        <v>California</v>
      </c>
      <c r="G56" t="str">
        <f t="shared" si="11"/>
        <v>Mendocino County</v>
      </c>
      <c r="H56">
        <f t="shared" si="12"/>
        <v>9</v>
      </c>
      <c r="P56" t="str">
        <f t="shared" si="13"/>
        <v>California</v>
      </c>
      <c r="Q56" t="str">
        <f t="shared" si="14"/>
        <v>Mendocino County</v>
      </c>
      <c r="R56">
        <f t="shared" si="15"/>
        <v>273.59999999999997</v>
      </c>
    </row>
    <row r="57" spans="1:18" x14ac:dyDescent="0.3">
      <c r="A57" t="s">
        <v>19</v>
      </c>
      <c r="B57" t="s">
        <v>641</v>
      </c>
      <c r="C57" s="24">
        <v>9</v>
      </c>
      <c r="D57" s="24">
        <v>800.3</v>
      </c>
      <c r="F57" t="str">
        <f t="shared" si="10"/>
        <v>California</v>
      </c>
      <c r="G57" t="str">
        <f t="shared" si="11"/>
        <v>Amador County</v>
      </c>
      <c r="H57">
        <f t="shared" si="12"/>
        <v>9</v>
      </c>
      <c r="P57" t="str">
        <f t="shared" si="13"/>
        <v>California</v>
      </c>
      <c r="Q57" t="str">
        <f t="shared" si="14"/>
        <v>Amador County</v>
      </c>
      <c r="R57">
        <f t="shared" si="15"/>
        <v>800.3</v>
      </c>
    </row>
    <row r="58" spans="1:18" x14ac:dyDescent="0.3">
      <c r="A58" t="s">
        <v>19</v>
      </c>
      <c r="B58" t="s">
        <v>208</v>
      </c>
      <c r="C58" s="24">
        <v>9</v>
      </c>
      <c r="D58" s="24">
        <v>343.2</v>
      </c>
      <c r="F58" t="str">
        <f t="shared" si="10"/>
        <v>California</v>
      </c>
      <c r="G58" t="str">
        <f t="shared" si="11"/>
        <v>Glenn County</v>
      </c>
      <c r="H58">
        <f t="shared" si="12"/>
        <v>9</v>
      </c>
      <c r="P58" t="str">
        <f t="shared" si="13"/>
        <v>California</v>
      </c>
      <c r="Q58" t="str">
        <f t="shared" si="14"/>
        <v>Glenn County</v>
      </c>
      <c r="R58">
        <f t="shared" si="15"/>
        <v>343.2</v>
      </c>
    </row>
    <row r="59" spans="1:18" x14ac:dyDescent="0.3">
      <c r="A59" t="s">
        <v>19</v>
      </c>
      <c r="B59" t="s">
        <v>86</v>
      </c>
      <c r="C59" s="24">
        <v>8</v>
      </c>
      <c r="D59" s="24">
        <v>887.5</v>
      </c>
      <c r="F59" t="str">
        <f t="shared" si="10"/>
        <v>California</v>
      </c>
      <c r="G59" t="str">
        <f t="shared" si="11"/>
        <v>Inyo County</v>
      </c>
      <c r="H59">
        <f t="shared" si="12"/>
        <v>8</v>
      </c>
      <c r="P59" t="str">
        <f t="shared" si="13"/>
        <v>California</v>
      </c>
      <c r="Q59" t="str">
        <f t="shared" si="14"/>
        <v>Inyo County</v>
      </c>
      <c r="R59">
        <f t="shared" si="15"/>
        <v>887.5</v>
      </c>
    </row>
    <row r="60" spans="1:18" x14ac:dyDescent="0.3">
      <c r="A60" t="s">
        <v>19</v>
      </c>
      <c r="B60" t="s">
        <v>268</v>
      </c>
      <c r="C60" s="24">
        <v>8</v>
      </c>
      <c r="D60" s="24">
        <v>332.3</v>
      </c>
      <c r="F60" t="str">
        <f t="shared" si="10"/>
        <v>California</v>
      </c>
      <c r="G60" t="str">
        <f t="shared" si="11"/>
        <v>Siskiyou County</v>
      </c>
      <c r="H60">
        <f t="shared" si="12"/>
        <v>8</v>
      </c>
      <c r="P60" t="str">
        <f t="shared" si="13"/>
        <v>California</v>
      </c>
      <c r="Q60" t="str">
        <f t="shared" si="14"/>
        <v>Siskiyou County</v>
      </c>
      <c r="R60">
        <f t="shared" si="15"/>
        <v>332.3</v>
      </c>
    </row>
    <row r="61" spans="1:18" x14ac:dyDescent="0.3">
      <c r="A61" t="s">
        <v>19</v>
      </c>
      <c r="B61" t="s">
        <v>416</v>
      </c>
      <c r="C61" s="24">
        <v>6</v>
      </c>
      <c r="D61" s="24">
        <v>445.79999999999995</v>
      </c>
      <c r="F61" t="str">
        <f t="shared" si="10"/>
        <v>California</v>
      </c>
      <c r="G61" t="str">
        <f t="shared" si="11"/>
        <v>Mariposa County</v>
      </c>
      <c r="H61">
        <f t="shared" si="12"/>
        <v>6</v>
      </c>
      <c r="P61" t="str">
        <f t="shared" si="13"/>
        <v>California</v>
      </c>
      <c r="Q61" t="str">
        <f t="shared" si="14"/>
        <v>Mariposa County</v>
      </c>
      <c r="R61">
        <f t="shared" si="15"/>
        <v>445.79999999999995</v>
      </c>
    </row>
    <row r="62" spans="1:18" x14ac:dyDescent="0.3">
      <c r="A62" t="s">
        <v>19</v>
      </c>
      <c r="B62" t="s">
        <v>79</v>
      </c>
      <c r="C62" s="24">
        <v>6</v>
      </c>
      <c r="D62" s="24">
        <v>323</v>
      </c>
      <c r="F62" t="str">
        <f t="shared" si="10"/>
        <v>California</v>
      </c>
      <c r="G62" t="str">
        <f t="shared" si="11"/>
        <v>Tehama County</v>
      </c>
      <c r="H62">
        <f t="shared" si="12"/>
        <v>6</v>
      </c>
      <c r="P62" t="str">
        <f t="shared" si="13"/>
        <v>California</v>
      </c>
      <c r="Q62" t="str">
        <f t="shared" si="14"/>
        <v>Tehama County</v>
      </c>
      <c r="R62">
        <f t="shared" si="15"/>
        <v>323</v>
      </c>
    </row>
    <row r="63" spans="1:18" x14ac:dyDescent="0.3">
      <c r="A63" t="s">
        <v>19</v>
      </c>
      <c r="B63" t="s">
        <v>338</v>
      </c>
      <c r="C63" s="24">
        <v>6</v>
      </c>
      <c r="D63" s="24">
        <v>206.1</v>
      </c>
      <c r="F63" t="str">
        <f>IF(A63="","",A63)</f>
        <v>California</v>
      </c>
      <c r="G63" t="str">
        <f t="shared" si="11"/>
        <v>Plumas County</v>
      </c>
      <c r="H63">
        <f t="shared" si="12"/>
        <v>6</v>
      </c>
      <c r="P63" t="str">
        <f t="shared" si="13"/>
        <v>California</v>
      </c>
      <c r="Q63" t="str">
        <f t="shared" si="14"/>
        <v>Plumas County</v>
      </c>
      <c r="R63">
        <f t="shared" si="15"/>
        <v>206.1</v>
      </c>
    </row>
    <row r="64" spans="1:18" x14ac:dyDescent="0.3">
      <c r="A64" t="s">
        <v>19</v>
      </c>
      <c r="B64" t="s">
        <v>608</v>
      </c>
      <c r="C64" s="24">
        <v>5</v>
      </c>
      <c r="D64" s="24">
        <v>167.70000000000002</v>
      </c>
      <c r="F64" t="str">
        <f t="shared" ref="F64:F71" si="16">IF(A64="","",A64)</f>
        <v>California</v>
      </c>
      <c r="G64" t="str">
        <f t="shared" si="11"/>
        <v>Trinity County</v>
      </c>
      <c r="H64">
        <f t="shared" si="12"/>
        <v>5</v>
      </c>
      <c r="P64" t="str">
        <f t="shared" si="13"/>
        <v>California</v>
      </c>
      <c r="Q64" t="str">
        <f t="shared" si="14"/>
        <v>Trinity County</v>
      </c>
      <c r="R64">
        <f t="shared" si="15"/>
        <v>167.70000000000002</v>
      </c>
    </row>
    <row r="65" spans="1:18" x14ac:dyDescent="0.3">
      <c r="A65" t="s">
        <v>19</v>
      </c>
      <c r="B65" t="s">
        <v>670</v>
      </c>
      <c r="C65" s="24">
        <v>4</v>
      </c>
      <c r="D65" s="24">
        <v>204.8</v>
      </c>
      <c r="F65" t="str">
        <f t="shared" si="16"/>
        <v>California</v>
      </c>
      <c r="G65" t="str">
        <f t="shared" si="11"/>
        <v>Mono County</v>
      </c>
      <c r="H65">
        <f t="shared" si="12"/>
        <v>4</v>
      </c>
      <c r="P65" t="str">
        <f t="shared" si="13"/>
        <v>California</v>
      </c>
      <c r="Q65" t="str">
        <f t="shared" si="14"/>
        <v>Mono County</v>
      </c>
      <c r="R65">
        <f t="shared" si="15"/>
        <v>204.8</v>
      </c>
    </row>
    <row r="66" spans="1:18" x14ac:dyDescent="0.3">
      <c r="A66" t="s">
        <v>19</v>
      </c>
      <c r="B66" t="s">
        <v>1383</v>
      </c>
      <c r="C66" s="24">
        <v>4</v>
      </c>
      <c r="D66" s="24">
        <v>167.5</v>
      </c>
      <c r="F66" t="str">
        <f t="shared" si="16"/>
        <v>California</v>
      </c>
      <c r="G66" t="str">
        <f t="shared" si="11"/>
        <v>Colusa County</v>
      </c>
      <c r="H66">
        <f t="shared" si="12"/>
        <v>4</v>
      </c>
      <c r="P66" t="str">
        <f t="shared" si="13"/>
        <v>California</v>
      </c>
      <c r="Q66" t="str">
        <f t="shared" si="14"/>
        <v>Colusa County</v>
      </c>
      <c r="R66">
        <f t="shared" si="15"/>
        <v>167.5</v>
      </c>
    </row>
    <row r="67" spans="1:18" x14ac:dyDescent="0.3">
      <c r="A67" t="s">
        <v>19</v>
      </c>
      <c r="B67" t="s">
        <v>1911</v>
      </c>
      <c r="C67" s="24">
        <v>3</v>
      </c>
      <c r="D67" s="24">
        <v>285</v>
      </c>
      <c r="F67" t="str">
        <f t="shared" si="16"/>
        <v>California</v>
      </c>
      <c r="G67" t="str">
        <f t="shared" si="11"/>
        <v>Yuba County</v>
      </c>
      <c r="H67">
        <f t="shared" si="12"/>
        <v>3</v>
      </c>
      <c r="P67" t="str">
        <f t="shared" si="13"/>
        <v>California</v>
      </c>
      <c r="Q67" t="str">
        <f t="shared" si="14"/>
        <v>Yuba County</v>
      </c>
      <c r="R67">
        <f t="shared" si="15"/>
        <v>285</v>
      </c>
    </row>
    <row r="68" spans="1:18" x14ac:dyDescent="0.3">
      <c r="A68" t="s">
        <v>19</v>
      </c>
      <c r="B68" t="s">
        <v>392</v>
      </c>
      <c r="C68" s="24">
        <v>2</v>
      </c>
      <c r="D68" s="24">
        <v>28.4</v>
      </c>
      <c r="F68" t="str">
        <f t="shared" si="16"/>
        <v>California</v>
      </c>
      <c r="G68" t="str">
        <f t="shared" si="11"/>
        <v>Modoc County</v>
      </c>
      <c r="H68">
        <f t="shared" si="12"/>
        <v>2</v>
      </c>
      <c r="P68" t="str">
        <f t="shared" si="13"/>
        <v>California</v>
      </c>
      <c r="Q68" t="str">
        <f t="shared" si="14"/>
        <v>Modoc County</v>
      </c>
      <c r="R68">
        <f t="shared" si="15"/>
        <v>28.4</v>
      </c>
    </row>
    <row r="69" spans="1:18" x14ac:dyDescent="0.3">
      <c r="A69" t="s">
        <v>19</v>
      </c>
      <c r="B69" t="s">
        <v>700</v>
      </c>
      <c r="C69" s="24">
        <v>2</v>
      </c>
      <c r="D69" s="24">
        <v>30.8</v>
      </c>
      <c r="F69" t="str">
        <f t="shared" si="16"/>
        <v>California</v>
      </c>
      <c r="G69" t="str">
        <f t="shared" si="11"/>
        <v>Sierra County</v>
      </c>
      <c r="H69">
        <f t="shared" si="12"/>
        <v>2</v>
      </c>
      <c r="P69" t="str">
        <f t="shared" si="13"/>
        <v>California</v>
      </c>
      <c r="Q69" t="str">
        <f t="shared" si="14"/>
        <v>Sierra County</v>
      </c>
      <c r="R69">
        <f t="shared" si="15"/>
        <v>30.8</v>
      </c>
    </row>
    <row r="70" spans="1:18" x14ac:dyDescent="0.3">
      <c r="A70" t="s">
        <v>19</v>
      </c>
      <c r="B70" t="s">
        <v>1426</v>
      </c>
      <c r="C70" s="24">
        <v>1</v>
      </c>
      <c r="D70" s="24">
        <v>26.2</v>
      </c>
      <c r="F70" t="str">
        <f t="shared" si="16"/>
        <v>California</v>
      </c>
      <c r="G70" t="str">
        <f t="shared" si="11"/>
        <v>Lassen County</v>
      </c>
      <c r="H70">
        <f t="shared" si="12"/>
        <v>1</v>
      </c>
      <c r="P70" t="str">
        <f t="shared" si="13"/>
        <v>California</v>
      </c>
      <c r="Q70" t="str">
        <f t="shared" si="14"/>
        <v>Lassen County</v>
      </c>
      <c r="R70">
        <f t="shared" si="15"/>
        <v>26.2</v>
      </c>
    </row>
    <row r="71" spans="1:18" x14ac:dyDescent="0.3">
      <c r="A71" t="s">
        <v>19</v>
      </c>
      <c r="B71" t="s">
        <v>20</v>
      </c>
      <c r="C71" s="24">
        <v>1</v>
      </c>
      <c r="D71" s="24">
        <v>10.9</v>
      </c>
      <c r="F71" t="str">
        <f t="shared" si="16"/>
        <v>California</v>
      </c>
      <c r="G71" t="str">
        <f t="shared" si="11"/>
        <v>Alpine County</v>
      </c>
      <c r="H71">
        <f t="shared" si="12"/>
        <v>1</v>
      </c>
      <c r="P71" t="str">
        <f t="shared" si="13"/>
        <v>California</v>
      </c>
      <c r="Q71" t="str">
        <f t="shared" si="14"/>
        <v>Alpine County</v>
      </c>
      <c r="R71">
        <f t="shared" si="15"/>
        <v>10.9</v>
      </c>
    </row>
    <row r="72" spans="1:18" x14ac:dyDescent="0.3">
      <c r="O72" t="str">
        <f t="shared" ref="O72:O73" si="17">IF(D72="","",D72)</f>
        <v/>
      </c>
    </row>
    <row r="73" spans="1:18" x14ac:dyDescent="0.3">
      <c r="O73" t="str">
        <f t="shared" si="17"/>
        <v/>
      </c>
    </row>
  </sheetData>
  <conditionalFormatting sqref="H4:L9">
    <cfRule type="colorScale" priority="2">
      <colorScale>
        <cfvo type="min"/>
        <cfvo type="max"/>
        <color rgb="FFDCEBC8"/>
        <color rgb="FF012B22"/>
      </colorScale>
    </cfRule>
  </conditionalFormatting>
  <conditionalFormatting sqref="H4:M9">
    <cfRule type="colorScale" priority="3">
      <colorScale>
        <cfvo type="min"/>
        <cfvo type="percentile" val="50"/>
        <cfvo type="max"/>
        <color rgb="FFF8696B"/>
        <color rgb="FFFCFCFF"/>
        <color rgb="FF5A8AC6"/>
      </colorScale>
    </cfRule>
  </conditionalFormatting>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B4C1-3E3A-4CBB-817D-20849AF6E81A}">
  <dimension ref="A2:F19"/>
  <sheetViews>
    <sheetView workbookViewId="0">
      <selection activeCell="E8" sqref="E8"/>
    </sheetView>
  </sheetViews>
  <sheetFormatPr defaultRowHeight="14.4" x14ac:dyDescent="0.3"/>
  <cols>
    <col min="1" max="1" width="12.5546875" bestFit="1" customWidth="1"/>
    <col min="2" max="2" width="13.21875" bestFit="1" customWidth="1"/>
    <col min="5" max="5" width="12.5546875" bestFit="1" customWidth="1"/>
    <col min="6" max="6" width="13.21875" bestFit="1" customWidth="1"/>
    <col min="7" max="7" width="7.77734375" customWidth="1"/>
    <col min="8" max="8" width="8.44140625" customWidth="1"/>
    <col min="9" max="9" width="7.77734375" customWidth="1"/>
    <col min="10" max="10" width="8.5546875" customWidth="1"/>
    <col min="11" max="36" width="9.109375" bestFit="1" customWidth="1"/>
    <col min="37" max="64" width="9.33203125" bestFit="1" customWidth="1"/>
    <col min="65" max="93" width="9.77734375" bestFit="1" customWidth="1"/>
  </cols>
  <sheetData>
    <row r="2" spans="1:6" x14ac:dyDescent="0.3">
      <c r="A2" s="7" t="s">
        <v>2605</v>
      </c>
      <c r="E2" s="7" t="s">
        <v>2606</v>
      </c>
    </row>
    <row r="3" spans="1:6" x14ac:dyDescent="0.3">
      <c r="A3" s="8" t="s">
        <v>2533</v>
      </c>
      <c r="B3" t="s">
        <v>2518</v>
      </c>
      <c r="E3" s="8" t="s">
        <v>2533</v>
      </c>
      <c r="F3" t="s">
        <v>2518</v>
      </c>
    </row>
    <row r="4" spans="1:6" x14ac:dyDescent="0.3">
      <c r="A4" s="9">
        <v>0</v>
      </c>
      <c r="B4" s="24">
        <v>175</v>
      </c>
      <c r="E4" s="9" t="s">
        <v>2607</v>
      </c>
      <c r="F4" s="24">
        <v>21</v>
      </c>
    </row>
    <row r="5" spans="1:6" x14ac:dyDescent="0.3">
      <c r="A5" s="9">
        <v>1</v>
      </c>
      <c r="B5" s="24">
        <v>888</v>
      </c>
      <c r="E5" s="9" t="s">
        <v>2608</v>
      </c>
      <c r="F5" s="24">
        <v>127</v>
      </c>
    </row>
    <row r="6" spans="1:6" x14ac:dyDescent="0.3">
      <c r="A6" s="9">
        <v>2</v>
      </c>
      <c r="B6" s="24">
        <v>538</v>
      </c>
      <c r="E6" s="9" t="s">
        <v>2609</v>
      </c>
      <c r="F6" s="24">
        <v>495</v>
      </c>
    </row>
    <row r="7" spans="1:6" x14ac:dyDescent="0.3">
      <c r="A7" s="9">
        <v>3</v>
      </c>
      <c r="B7" s="24">
        <v>344</v>
      </c>
      <c r="E7" s="9" t="s">
        <v>2610</v>
      </c>
      <c r="F7" s="24">
        <v>1036</v>
      </c>
    </row>
    <row r="8" spans="1:6" x14ac:dyDescent="0.3">
      <c r="A8" s="9">
        <v>4</v>
      </c>
      <c r="B8" s="24">
        <v>200</v>
      </c>
      <c r="E8" s="9" t="s">
        <v>2611</v>
      </c>
      <c r="F8" s="24">
        <v>721</v>
      </c>
    </row>
    <row r="9" spans="1:6" x14ac:dyDescent="0.3">
      <c r="A9" s="9">
        <v>5</v>
      </c>
      <c r="B9" s="24">
        <v>94</v>
      </c>
    </row>
    <row r="10" spans="1:6" x14ac:dyDescent="0.3">
      <c r="A10" s="9">
        <v>6</v>
      </c>
      <c r="B10" s="24">
        <v>51</v>
      </c>
    </row>
    <row r="11" spans="1:6" x14ac:dyDescent="0.3">
      <c r="A11" s="9">
        <v>7</v>
      </c>
      <c r="B11" s="24">
        <v>32</v>
      </c>
    </row>
    <row r="12" spans="1:6" x14ac:dyDescent="0.3">
      <c r="A12" s="9">
        <v>8</v>
      </c>
      <c r="B12" s="24">
        <v>23</v>
      </c>
    </row>
    <row r="13" spans="1:6" x14ac:dyDescent="0.3">
      <c r="A13" s="9">
        <v>9</v>
      </c>
      <c r="B13" s="24">
        <v>9</v>
      </c>
    </row>
    <row r="14" spans="1:6" x14ac:dyDescent="0.3">
      <c r="A14" s="9">
        <v>10</v>
      </c>
      <c r="B14" s="24">
        <v>8</v>
      </c>
    </row>
    <row r="15" spans="1:6" x14ac:dyDescent="0.3">
      <c r="A15" s="9">
        <v>11</v>
      </c>
      <c r="B15" s="24">
        <v>11</v>
      </c>
    </row>
    <row r="16" spans="1:6" x14ac:dyDescent="0.3">
      <c r="A16" s="9">
        <v>12</v>
      </c>
      <c r="B16" s="24">
        <v>4</v>
      </c>
    </row>
    <row r="17" spans="1:2" x14ac:dyDescent="0.3">
      <c r="A17" s="9">
        <v>13</v>
      </c>
      <c r="B17" s="24">
        <v>10</v>
      </c>
    </row>
    <row r="18" spans="1:2" x14ac:dyDescent="0.3">
      <c r="A18" s="9">
        <v>14</v>
      </c>
      <c r="B18" s="24">
        <v>13</v>
      </c>
    </row>
    <row r="19" spans="1:2" x14ac:dyDescent="0.3">
      <c r="A19" s="9" t="s">
        <v>2534</v>
      </c>
      <c r="B19" s="24">
        <v>2400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5871E-992F-4316-8724-A2285B28C172}">
  <dimension ref="A4:E20"/>
  <sheetViews>
    <sheetView workbookViewId="0">
      <selection activeCell="C6" sqref="C6"/>
    </sheetView>
  </sheetViews>
  <sheetFormatPr defaultRowHeight="14.4" x14ac:dyDescent="0.3"/>
  <cols>
    <col min="1" max="1" width="30.77734375" bestFit="1" customWidth="1"/>
  </cols>
  <sheetData>
    <row r="4" spans="1:5" x14ac:dyDescent="0.3">
      <c r="A4" s="4" t="s">
        <v>2503</v>
      </c>
    </row>
    <row r="5" spans="1:5" x14ac:dyDescent="0.3">
      <c r="A5" s="22" t="s">
        <v>2504</v>
      </c>
    </row>
    <row r="6" spans="1:5" x14ac:dyDescent="0.3">
      <c r="A6" s="5" t="s">
        <v>2505</v>
      </c>
    </row>
    <row r="7" spans="1:5" x14ac:dyDescent="0.3">
      <c r="A7" s="5" t="s">
        <v>2506</v>
      </c>
    </row>
    <row r="8" spans="1:5" x14ac:dyDescent="0.3">
      <c r="A8" s="5" t="s">
        <v>2507</v>
      </c>
    </row>
    <row r="9" spans="1:5" x14ac:dyDescent="0.3">
      <c r="A9" s="5" t="s">
        <v>2508</v>
      </c>
    </row>
    <row r="12" spans="1:5" x14ac:dyDescent="0.3">
      <c r="A12" s="4" t="s">
        <v>2509</v>
      </c>
    </row>
    <row r="13" spans="1:5" x14ac:dyDescent="0.3">
      <c r="A13" t="s">
        <v>2510</v>
      </c>
    </row>
    <row r="14" spans="1:5" x14ac:dyDescent="0.3">
      <c r="A14" t="s">
        <v>2511</v>
      </c>
      <c r="E14" s="1"/>
    </row>
    <row r="15" spans="1:5" x14ac:dyDescent="0.3">
      <c r="A15" t="s">
        <v>2512</v>
      </c>
    </row>
    <row r="16" spans="1:5" x14ac:dyDescent="0.3">
      <c r="A16" t="s">
        <v>2513</v>
      </c>
    </row>
    <row r="17" spans="1:1" x14ac:dyDescent="0.3">
      <c r="A17" t="s">
        <v>2514</v>
      </c>
    </row>
    <row r="18" spans="1:1" x14ac:dyDescent="0.3">
      <c r="A18" t="s">
        <v>2515</v>
      </c>
    </row>
    <row r="19" spans="1:1" x14ac:dyDescent="0.3">
      <c r="A19" t="s">
        <v>2516</v>
      </c>
    </row>
    <row r="20" spans="1:1" x14ac:dyDescent="0.3">
      <c r="A20" t="s">
        <v>2517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BFBD9-DC96-41B5-AAAA-ECAA9ECBD527}">
  <dimension ref="S41"/>
  <sheetViews>
    <sheetView tabSelected="1" zoomScale="90" zoomScaleNormal="90" workbookViewId="0">
      <selection activeCell="L38" sqref="L38"/>
    </sheetView>
  </sheetViews>
  <sheetFormatPr defaultRowHeight="14.4" x14ac:dyDescent="0.3"/>
  <cols>
    <col min="1" max="1" width="2.77734375" customWidth="1"/>
    <col min="2" max="2" width="27.109375" customWidth="1"/>
    <col min="3" max="3" width="3.6640625" customWidth="1"/>
  </cols>
  <sheetData>
    <row r="41" spans="19:19" x14ac:dyDescent="0.3">
      <c r="S41" s="7"/>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DB5194C3BFB6240A0EA37199DCA6A00" ma:contentTypeVersion="9" ma:contentTypeDescription="Create a new document." ma:contentTypeScope="" ma:versionID="5ecfd318daf3bde51a49f414b25d73b3">
  <xsd:schema xmlns:xsd="http://www.w3.org/2001/XMLSchema" xmlns:xs="http://www.w3.org/2001/XMLSchema" xmlns:p="http://schemas.microsoft.com/office/2006/metadata/properties" xmlns:ns3="8f17fcf7-3736-4272-9556-81cd174e86dc" targetNamespace="http://schemas.microsoft.com/office/2006/metadata/properties" ma:root="true" ma:fieldsID="60006af193ccaeb0172b613a81e4a4d2" ns3:_="">
    <xsd:import namespace="8f17fcf7-3736-4272-9556-81cd174e86dc"/>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17fcf7-3736-4272-9556-81cd174e86d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8f17fcf7-3736-4272-9556-81cd174e86d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9659F40-1C2D-4931-B6A4-8852C86E2D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17fcf7-3736-4272-9556-81cd174e86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CCFABA9-CF11-4965-8CD8-BFC6F0A1B8B4}">
  <ds:schemaRefs>
    <ds:schemaRef ds:uri="http://purl.org/dc/elements/1.1/"/>
    <ds:schemaRef ds:uri="http://www.w3.org/XML/1998/namespace"/>
    <ds:schemaRef ds:uri="8f17fcf7-3736-4272-9556-81cd174e86dc"/>
    <ds:schemaRef ds:uri="http://purl.org/dc/dcmitype/"/>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B42C4AB2-AF2F-4599-B758-D3CE3DA2CF2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Pivots</vt:lpstr>
      <vt:lpstr>Pivot 2</vt:lpstr>
      <vt:lpstr>Pivot 3</vt:lpstr>
      <vt:lpstr>Questions and 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Muskan Kumari [MCA - 2025]</dc:creator>
  <cp:lastModifiedBy>Muskan Kumari [MCA - 2025]</cp:lastModifiedBy>
  <dcterms:created xsi:type="dcterms:W3CDTF">2026-06-02T08:37:03Z</dcterms:created>
  <dcterms:modified xsi:type="dcterms:W3CDTF">2026-06-06T16:41:38Z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0x0101009DB5194C3BFB6240A0EA37199DCA6A00</vt:lpwstr>
  </property>
</Properties>
</file>